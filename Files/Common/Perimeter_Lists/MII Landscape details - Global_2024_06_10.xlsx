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jacques_robert_sanofi_com/Documents/Inventory/"/>
    </mc:Choice>
  </mc:AlternateContent>
  <xr:revisionPtr revIDLastSave="158" documentId="13_ncr:1_{EEA03C83-A3F0-A542-9981-1549404C138E}" xr6:coauthVersionLast="47" xr6:coauthVersionMax="47" xr10:uidLastSave="{12F3D5C3-3873-9247-9703-71602EAB3C04}"/>
  <bookViews>
    <workbookView xWindow="0" yWindow="760" windowWidth="30240" windowHeight="17820" tabRatio="768" activeTab="1" xr2:uid="{00000000-000D-0000-FFFF-FFFF00000000}"/>
  </bookViews>
  <sheets>
    <sheet name="AWS" sheetId="10" r:id="rId1"/>
    <sheet name="Local Sites" sheetId="11" r:id="rId2"/>
    <sheet name="Local Sites_Tools" sheetId="12" r:id="rId3"/>
    <sheet name="MII URLs" sheetId="4" r:id="rId4"/>
    <sheet name="PCO_Kep Server" sheetId="13" r:id="rId5"/>
    <sheet name="Software" sheetId="2" r:id="rId6"/>
    <sheet name="Qualipso&amp;Links" sheetId="5" r:id="rId7"/>
    <sheet name="Users" sheetId="8" r:id="rId8"/>
    <sheet name="NGDC" sheetId="1" r:id="rId9"/>
  </sheets>
  <definedNames>
    <definedName name="_Hlk63155372" localSheetId="3">'Local Sites'!$V$69</definedName>
    <definedName name="_Hlk63155389" localSheetId="3">'Local Sites'!#REF!</definedName>
    <definedName name="_Toc108261759" localSheetId="6">'Qualipso&amp;Links'!#REF!</definedName>
    <definedName name="_Toc295726649" localSheetId="6">'Qualipso&amp;Links'!$H$5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1" i="10" l="1"/>
  <c r="S11" i="10" s="1"/>
  <c r="R10" i="10" l="1"/>
  <c r="S10" i="10" s="1"/>
  <c r="R9" i="10"/>
  <c r="S9" i="10" s="1"/>
  <c r="Q9" i="10"/>
  <c r="R29" i="10"/>
  <c r="S29" i="10" s="1"/>
  <c r="R28" i="10"/>
  <c r="S28" i="10" s="1"/>
  <c r="Q28" i="10"/>
  <c r="R27" i="10" l="1"/>
  <c r="S27" i="10" s="1"/>
  <c r="R26" i="10"/>
  <c r="S26" i="10" s="1"/>
  <c r="Q26" i="10"/>
  <c r="R25" i="10"/>
  <c r="S25" i="10" s="1"/>
  <c r="R24" i="10"/>
  <c r="S24" i="10" s="1"/>
  <c r="Q24" i="10"/>
  <c r="R23" i="10"/>
  <c r="S23" i="10" s="1"/>
  <c r="R22" i="10"/>
  <c r="S22" i="10" s="1"/>
  <c r="Q22" i="10"/>
  <c r="R21" i="10" l="1"/>
  <c r="S21" i="10" s="1"/>
  <c r="R20" i="10"/>
  <c r="S20" i="10" s="1"/>
  <c r="Q20" i="10"/>
  <c r="R19" i="10"/>
  <c r="S19" i="10" s="1"/>
  <c r="R18" i="10"/>
  <c r="S18" i="10" s="1"/>
  <c r="Q18" i="10"/>
  <c r="R17" i="10"/>
  <c r="S17" i="10" s="1"/>
  <c r="R16" i="10"/>
  <c r="S16" i="10" s="1"/>
  <c r="Q16" i="10"/>
  <c r="R8" i="10"/>
  <c r="S8" i="10" s="1"/>
  <c r="R7" i="10"/>
  <c r="S7" i="10" s="1"/>
  <c r="Q7" i="10"/>
  <c r="R5" i="10"/>
  <c r="S5" i="10" s="1"/>
  <c r="R4" i="10"/>
  <c r="S4" i="10" s="1"/>
  <c r="Q4" i="10"/>
</calcChain>
</file>

<file path=xl/sharedStrings.xml><?xml version="1.0" encoding="utf-8"?>
<sst xmlns="http://schemas.openxmlformats.org/spreadsheetml/2006/main" count="3561" uniqueCount="1234">
  <si>
    <t>VM Host</t>
  </si>
  <si>
    <t>SID</t>
  </si>
  <si>
    <t>xsnh11x277t</t>
  </si>
  <si>
    <t>SQA</t>
  </si>
  <si>
    <t>DQA</t>
  </si>
  <si>
    <t>xsnh11x281a</t>
  </si>
  <si>
    <t>xsnh11x476a</t>
  </si>
  <si>
    <t>AQA (A)</t>
  </si>
  <si>
    <t>xsnh11x477f</t>
  </si>
  <si>
    <t>AQA (P)</t>
  </si>
  <si>
    <t>PQA (A)</t>
  </si>
  <si>
    <t>PQA (P)</t>
  </si>
  <si>
    <t>xsph12a184a</t>
  </si>
  <si>
    <t>PQA (D)</t>
  </si>
  <si>
    <t>168.124.88.87</t>
  </si>
  <si>
    <t>168.124.88.88</t>
  </si>
  <si>
    <t>xsnh11x47xc
168.124.88.101</t>
  </si>
  <si>
    <t>Server IP</t>
  </si>
  <si>
    <t>168.124.128.119</t>
  </si>
  <si>
    <t>168.124.129.174</t>
  </si>
  <si>
    <t>Environment</t>
  </si>
  <si>
    <t>Development</t>
  </si>
  <si>
    <t>Production</t>
  </si>
  <si>
    <t>xsph11x584w</t>
  </si>
  <si>
    <t>168.124.15.222</t>
  </si>
  <si>
    <t>xsph11x582c</t>
  </si>
  <si>
    <t>168.124.15.175</t>
  </si>
  <si>
    <t>xsph11x58xc
168.124.15.65</t>
  </si>
  <si>
    <t>N/A</t>
  </si>
  <si>
    <t>Cluster Alias</t>
  </si>
  <si>
    <t>Sanofi MII/OEE Landscape</t>
  </si>
  <si>
    <t>168.124.130.214</t>
  </si>
  <si>
    <t>Physical Host Server</t>
  </si>
  <si>
    <t>xsph10s179k</t>
  </si>
  <si>
    <t>xsph10k461sn02</t>
  </si>
  <si>
    <t>xsph10w905b</t>
  </si>
  <si>
    <t>xsph11f131s</t>
  </si>
  <si>
    <t>xsph10s181b</t>
  </si>
  <si>
    <t>xsph10k461sn01</t>
  </si>
  <si>
    <t>DBCI (D)</t>
  </si>
  <si>
    <t>DBCI (P)</t>
  </si>
  <si>
    <t>DBCI (A)</t>
  </si>
  <si>
    <t>DBCI</t>
  </si>
  <si>
    <t>BL890c i2/i4</t>
  </si>
  <si>
    <t>Entitlement</t>
  </si>
  <si>
    <t>vCPU</t>
  </si>
  <si>
    <t>SAPS (Min)</t>
  </si>
  <si>
    <t>SAPS (Max)</t>
  </si>
  <si>
    <t>System ID</t>
  </si>
  <si>
    <t>E11</t>
  </si>
  <si>
    <t>E21</t>
  </si>
  <si>
    <t>PQA</t>
  </si>
  <si>
    <t>System</t>
  </si>
  <si>
    <t xml:space="preserve">xsph10w906k </t>
  </si>
  <si>
    <t>BL890c i2</t>
  </si>
  <si>
    <t>BL890c i4</t>
  </si>
  <si>
    <t>SAP Application</t>
  </si>
  <si>
    <t>SAP MII Add-On</t>
  </si>
  <si>
    <t>SAP Kernel</t>
  </si>
  <si>
    <t>Instance</t>
  </si>
  <si>
    <t>168.124.18.170</t>
  </si>
  <si>
    <t>Netbackup</t>
  </si>
  <si>
    <t>Physical Host IP</t>
  </si>
  <si>
    <t>Machine Serial</t>
  </si>
  <si>
    <t>SGH515WKSC</t>
  </si>
  <si>
    <t>CZ3316CF05</t>
  </si>
  <si>
    <t>SGH410D4F4</t>
  </si>
  <si>
    <t>CZ3238WEE7</t>
  </si>
  <si>
    <t>SGH410D4F2</t>
  </si>
  <si>
    <t>CZ3316CF03</t>
  </si>
  <si>
    <t xml:space="preserve">CZ3238WEE4 </t>
  </si>
  <si>
    <t>168.124.128.146</t>
  </si>
  <si>
    <t>168.124.52.187</t>
  </si>
  <si>
    <t>168.124.52.251</t>
  </si>
  <si>
    <t>168.124.18.171</t>
  </si>
  <si>
    <t>168.124.38.228</t>
  </si>
  <si>
    <t>168.124.15.218</t>
  </si>
  <si>
    <t>Acceptance</t>
  </si>
  <si>
    <t>MII</t>
  </si>
  <si>
    <t>NWA</t>
  </si>
  <si>
    <t>OEE Dashboard</t>
  </si>
  <si>
    <t>URL</t>
  </si>
  <si>
    <t>Name</t>
  </si>
  <si>
    <t>Doc ID</t>
  </si>
  <si>
    <t>Title</t>
  </si>
  <si>
    <t>IS_1569812</t>
  </si>
  <si>
    <t>eOEE-MII Technical Recovery Plan</t>
  </si>
  <si>
    <t>eOEE - Multi-Sites - Architecture Specification</t>
  </si>
  <si>
    <t>IS_1568159</t>
  </si>
  <si>
    <t>eOEE-MII Infrastructure Operation Manual</t>
  </si>
  <si>
    <t>IS_1570184</t>
  </si>
  <si>
    <t>eOEE -MII Disaster Recovery Test case Scenarios</t>
  </si>
  <si>
    <t>IS_1570195</t>
  </si>
  <si>
    <t>IS_1572200</t>
  </si>
  <si>
    <t>SAP MII Installation Procedure</t>
  </si>
  <si>
    <t>168.124.130.161</t>
  </si>
  <si>
    <t>IS_1572851</t>
  </si>
  <si>
    <t>SSL Configuration - MII Systems</t>
  </si>
  <si>
    <t>IS_1572216</t>
  </si>
  <si>
    <t>SAP Web Dispatcher Installation Procedure</t>
  </si>
  <si>
    <t>LDAP Configuration - MII Systems</t>
  </si>
  <si>
    <t>IS_1573104</t>
  </si>
  <si>
    <t>daaadm</t>
  </si>
  <si>
    <t>Diagnostic agent Administration</t>
  </si>
  <si>
    <t>SAP Administrative Operations and services</t>
  </si>
  <si>
    <t>Web Dispatcher Administration</t>
  </si>
  <si>
    <t>SAP NetWeaver Administration</t>
  </si>
  <si>
    <t>Administrator</t>
  </si>
  <si>
    <t>Web Dispatcher Application administrator</t>
  </si>
  <si>
    <t>webadm</t>
  </si>
  <si>
    <t>OEE Administrator</t>
  </si>
  <si>
    <t>OEE_ADMIN</t>
  </si>
  <si>
    <t>OEE Integrator</t>
  </si>
  <si>
    <t>OEE_INTEGRATOR</t>
  </si>
  <si>
    <t>MIIDB</t>
  </si>
  <si>
    <t>IS_1575949</t>
  </si>
  <si>
    <t>SAP SSO - Installation Procedure</t>
  </si>
  <si>
    <t>Production (Lisieux)</t>
  </si>
  <si>
    <t>Disaster Recovery (Lisieux)</t>
  </si>
  <si>
    <t>Production (Maison Alfort)</t>
  </si>
  <si>
    <t>PQD (A)</t>
  </si>
  <si>
    <t>PQD (P)</t>
  </si>
  <si>
    <t>xsph12b640a</t>
  </si>
  <si>
    <t>xsph12b641f</t>
  </si>
  <si>
    <t>168.124.34.203</t>
  </si>
  <si>
    <t>168.124.34.96</t>
  </si>
  <si>
    <t>xsph11f127f</t>
  </si>
  <si>
    <t>VM01932000</t>
  </si>
  <si>
    <t>xsph12x640x
168.124.34.144</t>
  </si>
  <si>
    <t>Sandbox AMER</t>
  </si>
  <si>
    <t>Sandbox EMEA</t>
  </si>
  <si>
    <t>ZQA</t>
  </si>
  <si>
    <t>xsnh12b061t</t>
  </si>
  <si>
    <t>157.206.160.124</t>
  </si>
  <si>
    <t>xsph10p500bn04</t>
  </si>
  <si>
    <t>VM01901000</t>
  </si>
  <si>
    <t>Production (Tours)</t>
  </si>
  <si>
    <t>PQE (A)</t>
  </si>
  <si>
    <t>PQE (P)</t>
  </si>
  <si>
    <t>xsph12b89xw
168.124.144.173</t>
  </si>
  <si>
    <t>xsph12b899w</t>
  </si>
  <si>
    <t>xsph12b900p</t>
  </si>
  <si>
    <t>xsph10w762c</t>
  </si>
  <si>
    <t xml:space="preserve">               </t>
  </si>
  <si>
    <t>Development MAF</t>
  </si>
  <si>
    <t>DQD</t>
  </si>
  <si>
    <t>xsnh12b966x</t>
  </si>
  <si>
    <t>PQG</t>
  </si>
  <si>
    <t>PQH</t>
  </si>
  <si>
    <t>PQM</t>
  </si>
  <si>
    <t>xsph12c767t</t>
  </si>
  <si>
    <t>xsph12c664p</t>
  </si>
  <si>
    <t>NQA</t>
  </si>
  <si>
    <t>xspl12c675x</t>
  </si>
  <si>
    <t>xsph12c782k</t>
  </si>
  <si>
    <t>PQJ</t>
  </si>
  <si>
    <t>Production (NWDI)</t>
  </si>
  <si>
    <t>Production (Frankfurt)</t>
  </si>
  <si>
    <t>Production (HANGHZOU)</t>
  </si>
  <si>
    <t>Production (SUSANO)</t>
  </si>
  <si>
    <t>Production (Ocoyacac)</t>
  </si>
  <si>
    <t>168.124.145.154</t>
  </si>
  <si>
    <t>168.124.145.157</t>
  </si>
  <si>
    <t>168.124.14.81</t>
  </si>
  <si>
    <t>157.206.62.108</t>
  </si>
  <si>
    <t>168.124.252.200</t>
  </si>
  <si>
    <t>168.124.192.51</t>
  </si>
  <si>
    <t>166.118.193.50</t>
  </si>
  <si>
    <t>PQD</t>
  </si>
  <si>
    <t>xsph12c767</t>
  </si>
  <si>
    <t>xsph12c769f</t>
  </si>
  <si>
    <t>BL16_VM_223</t>
  </si>
  <si>
    <t>P11</t>
  </si>
  <si>
    <t>A11</t>
  </si>
  <si>
    <t>BL16_VM_501</t>
  </si>
  <si>
    <t>BL890c i6</t>
  </si>
  <si>
    <t>Production (SUZANO)</t>
  </si>
  <si>
    <t>157.206.134.10</t>
  </si>
  <si>
    <t>xsph11x58xc</t>
  </si>
  <si>
    <t>dbciPQA</t>
  </si>
  <si>
    <t>Logical Hostname</t>
  </si>
  <si>
    <t>PQE</t>
  </si>
  <si>
    <t>xsph12x640x</t>
  </si>
  <si>
    <t>dbciPQD</t>
  </si>
  <si>
    <t>dbciPQE</t>
  </si>
  <si>
    <t>xsph12b89xw</t>
  </si>
  <si>
    <t>&lt;sid&gt;adm</t>
  </si>
  <si>
    <t>Production - p
Acceptance - a
Development - d</t>
  </si>
  <si>
    <t>&lt;env&gt;qwadm</t>
  </si>
  <si>
    <t>Environment
&lt;env&gt;</t>
  </si>
  <si>
    <t>Database account for MII internal connections</t>
  </si>
  <si>
    <t>Database account for Developers</t>
  </si>
  <si>
    <t>MIIDB_ADMIN</t>
  </si>
  <si>
    <t>Database account for Data Management (read &amp; write)</t>
  </si>
  <si>
    <t>MIIDB_QUERY</t>
  </si>
  <si>
    <t>Database account for Data Management (read only)</t>
  </si>
  <si>
    <t>MIIDB_READ</t>
  </si>
  <si>
    <t>Database account for Analytics Reporting</t>
  </si>
  <si>
    <t>MIIANA&lt;SID&gt;</t>
  </si>
  <si>
    <t>Region</t>
  </si>
  <si>
    <t>EMEA</t>
  </si>
  <si>
    <t>AMER</t>
  </si>
  <si>
    <t>APAC</t>
  </si>
  <si>
    <t>NetWeaver 7.5
SPS 16</t>
  </si>
  <si>
    <t>SAP Details</t>
  </si>
  <si>
    <t>Development Lisieux</t>
  </si>
  <si>
    <t>Cluster Package</t>
  </si>
  <si>
    <t>IS_1651741</t>
  </si>
  <si>
    <t>SAP MII Technical Implementation</t>
  </si>
  <si>
    <t>RAM in GB</t>
  </si>
  <si>
    <t>NGDC Room</t>
  </si>
  <si>
    <t>NGDC</t>
  </si>
  <si>
    <t>Local Sites</t>
  </si>
  <si>
    <t>AWS</t>
  </si>
  <si>
    <t>emea-nonprod-sapmii (915189552772)</t>
  </si>
  <si>
    <t>AWS TAG</t>
  </si>
  <si>
    <t xml:space="preserve">SAP </t>
  </si>
  <si>
    <t xml:space="preserve">Infrastructure </t>
  </si>
  <si>
    <t>Storage Details</t>
  </si>
  <si>
    <t>IP</t>
  </si>
  <si>
    <t>CE_Environment</t>
  </si>
  <si>
    <t>Component</t>
  </si>
  <si>
    <t>&lt;car&gt;</t>
  </si>
  <si>
    <t>SAPSID</t>
  </si>
  <si>
    <t>Tenant</t>
  </si>
  <si>
    <t>SysNum</t>
  </si>
  <si>
    <t>SAP Instance NAME</t>
  </si>
  <si>
    <t>Logical HostName</t>
  </si>
  <si>
    <t>FQDN</t>
  </si>
  <si>
    <t>@IP</t>
  </si>
  <si>
    <t>OS</t>
  </si>
  <si>
    <t>AWS EC2 Model proposal</t>
  </si>
  <si>
    <t>Desired RAM</t>
  </si>
  <si>
    <t>SAPs</t>
  </si>
  <si>
    <t>HANA Data (GB)
(GP2)
/hana/data/</t>
  </si>
  <si>
    <t>HANA Log (GB)
(GP2)
/hana/log</t>
  </si>
  <si>
    <t>HANA Data (GB)
(IO) (9000 IOPs)
/hana/data</t>
  </si>
  <si>
    <t>HANA Log (GB)
(IO) (2000 IOPs)
/hana/log</t>
  </si>
  <si>
    <t>HANA Shared (GB)
(GP2)
/hana/shared</t>
  </si>
  <si>
    <t>HANA BACKUP (GB)
(GP2)
/hana/backup</t>
  </si>
  <si>
    <t>SAP Binarie (GB) (GP2)</t>
  </si>
  <si>
    <t>root (GB)</t>
  </si>
  <si>
    <t>S3_Bucket Name (backup)</t>
  </si>
  <si>
    <t>SAPMNT (GB) (EFS)</t>
  </si>
  <si>
    <t>TEMP MIGRATION (GB) GP2</t>
  </si>
  <si>
    <t>AWS Account</t>
  </si>
  <si>
    <t>VPC ID</t>
  </si>
  <si>
    <t>WAVE</t>
  </si>
  <si>
    <t>Tuned</t>
  </si>
  <si>
    <t>Redhat subscription</t>
  </si>
  <si>
    <t>Type</t>
  </si>
  <si>
    <t>IPv4 CIDR</t>
  </si>
  <si>
    <t>Subnet</t>
  </si>
  <si>
    <t>/usr/sap</t>
  </si>
  <si>
    <t>/usr/sap/SID</t>
  </si>
  <si>
    <t>/sapmnt/SID</t>
  </si>
  <si>
    <r>
      <t>/usr/sap/AUDIT</t>
    </r>
    <r>
      <rPr>
        <b/>
        <sz val="8"/>
        <color theme="0"/>
        <rFont val="Arial"/>
        <family val="2"/>
      </rPr>
      <t xml:space="preserve"> 
( 5GB N-PROD - 20GB PROD)</t>
    </r>
  </si>
  <si>
    <t>SWAP (GB)</t>
  </si>
  <si>
    <t>emea-nonprod-sapmii</t>
  </si>
  <si>
    <t>vpc-0d0c08ad39c28e9d6</t>
  </si>
  <si>
    <t>HANA</t>
  </si>
  <si>
    <t>YES</t>
  </si>
  <si>
    <t>DEV</t>
  </si>
  <si>
    <t>10.24.4.32/27</t>
  </si>
  <si>
    <t>B</t>
  </si>
  <si>
    <t>xsnl62f053k</t>
  </si>
  <si>
    <t>10.24.4.36</t>
  </si>
  <si>
    <t>SAP HANA 2.0</t>
  </si>
  <si>
    <t>hdb</t>
  </si>
  <si>
    <t>DQH</t>
  </si>
  <si>
    <t>r5.4xlarge</t>
  </si>
  <si>
    <t>3 x 225 GiB</t>
  </si>
  <si>
    <t>2 x 175 GiB</t>
  </si>
  <si>
    <t>1 x 300 GiB</t>
  </si>
  <si>
    <t>1 x 512 GiB</t>
  </si>
  <si>
    <t>1 x 5 GiB</t>
  </si>
  <si>
    <t>1 x 42 GiB</t>
  </si>
  <si>
    <t>Netweaver</t>
  </si>
  <si>
    <t>xsnl62f055a</t>
  </si>
  <si>
    <t>10.24.4.42</t>
  </si>
  <si>
    <t>JC00</t>
  </si>
  <si>
    <t>jc</t>
  </si>
  <si>
    <t>DQO</t>
  </si>
  <si>
    <t>00</t>
  </si>
  <si>
    <t>J00</t>
  </si>
  <si>
    <t>r5.xlarge</t>
  </si>
  <si>
    <t>1 x 10 GiB</t>
  </si>
  <si>
    <t>1 x 30 GiB</t>
  </si>
  <si>
    <t>xsnl62f428w</t>
  </si>
  <si>
    <t>10.24.4.43</t>
  </si>
  <si>
    <t>NWDI</t>
  </si>
  <si>
    <t>di</t>
  </si>
  <si>
    <t>NQO</t>
  </si>
  <si>
    <t>sapnqodi</t>
  </si>
  <si>
    <t>sapnqodi.pharma.aventis.com</t>
  </si>
  <si>
    <t>ACC</t>
  </si>
  <si>
    <t>10.24.4.0/27</t>
  </si>
  <si>
    <t>A</t>
  </si>
  <si>
    <t>xsnl62f056f</t>
  </si>
  <si>
    <t>10.24.4.20</t>
  </si>
  <si>
    <t>Testing</t>
  </si>
  <si>
    <t>AQH</t>
  </si>
  <si>
    <t>xsnl62f057s</t>
  </si>
  <si>
    <t>10.24.4.22</t>
  </si>
  <si>
    <t>AQO</t>
  </si>
  <si>
    <t>emea-prod-sapmii (191209935872)</t>
  </si>
  <si>
    <t>emea-prod-sapmii</t>
  </si>
  <si>
    <t>vpc-04a8c3f818e780a47</t>
  </si>
  <si>
    <t>PreProd</t>
  </si>
  <si>
    <t>10.24.70.192/27</t>
  </si>
  <si>
    <t>xsnl62c919k</t>
  </si>
  <si>
    <t>10.24.70.209</t>
  </si>
  <si>
    <t>CQH</t>
  </si>
  <si>
    <t>r5.2xlarge</t>
  </si>
  <si>
    <t>xsnl62c920w</t>
  </si>
  <si>
    <t>10.24.70.213</t>
  </si>
  <si>
    <t>CQO</t>
  </si>
  <si>
    <t>RHEL-Q-M2-Su2-0400-1900_NOREBOOT</t>
  </si>
  <si>
    <t>Prod</t>
  </si>
  <si>
    <t>10.24.70.224/27</t>
  </si>
  <si>
    <t>xspl62f427p</t>
  </si>
  <si>
    <t>10.24.70.254</t>
  </si>
  <si>
    <t>PCF</t>
  </si>
  <si>
    <t>xspl62f426c</t>
  </si>
  <si>
    <t>10.24.70.233</t>
  </si>
  <si>
    <t>PQF</t>
  </si>
  <si>
    <t>xspl70s032c</t>
  </si>
  <si>
    <t>10.24.70.222</t>
  </si>
  <si>
    <t>P4S</t>
  </si>
  <si>
    <t>3 x 175 GiB</t>
  </si>
  <si>
    <t>2 x 128 GiB</t>
  </si>
  <si>
    <t>EFS Hana Backup</t>
  </si>
  <si>
    <t>xspl70p836t</t>
  </si>
  <si>
    <t>10.24.70.210</t>
  </si>
  <si>
    <t>PFS</t>
  </si>
  <si>
    <t>https</t>
  </si>
  <si>
    <t>sapwdawsemea.phama.aventis.com</t>
  </si>
  <si>
    <t>è</t>
  </si>
  <si>
    <t>sapdqojc</t>
  </si>
  <si>
    <t>sapaqojc</t>
  </si>
  <si>
    <t>sapcqojc</t>
  </si>
  <si>
    <t>sapdqhhdb</t>
  </si>
  <si>
    <t>sapaqhhdb</t>
  </si>
  <si>
    <t>sapcqhhdb</t>
  </si>
  <si>
    <t>MLE Prod</t>
  </si>
  <si>
    <t>VDR Prod</t>
  </si>
  <si>
    <t>GEL Prod</t>
  </si>
  <si>
    <t>LTR Prod</t>
  </si>
  <si>
    <t>BEI Prod</t>
  </si>
  <si>
    <t>ANA Prod</t>
  </si>
  <si>
    <t>RIE Prod</t>
  </si>
  <si>
    <t>mlesappmiip01</t>
  </si>
  <si>
    <t>mlesdbhanap01</t>
  </si>
  <si>
    <t>VDRSAPPMIIP01</t>
  </si>
  <si>
    <t>VDRSDBHANAP01</t>
  </si>
  <si>
    <t>https://sapwdvdr.pharma.aventis.com:9100/nwa</t>
  </si>
  <si>
    <t>https://sapwdvdr.pharma.aventis.com:9100/XMII</t>
  </si>
  <si>
    <t>ANASAPPMIIP01</t>
  </si>
  <si>
    <t>ANASDBHANAP01</t>
  </si>
  <si>
    <t>https://sapwdana.pharma.aventis.com:9100/nwa</t>
  </si>
  <si>
    <t>https://sapwdana.pharma.aventis.com:9100/XMII</t>
  </si>
  <si>
    <t>BEISAPPMIIP01</t>
  </si>
  <si>
    <t>BEISDBHANAP01</t>
  </si>
  <si>
    <t>https://sapwdbei.pharma.aventis.com:9100/nwa</t>
  </si>
  <si>
    <t>https://sapwdbei.pharma.aventis.com:9100/XMII</t>
  </si>
  <si>
    <t>ELBSAPPMIIP01</t>
  </si>
  <si>
    <t>ELBSDBHANAP01</t>
  </si>
  <si>
    <t>https://sapwdelb.pharma.aventis.com:9100/nwa</t>
  </si>
  <si>
    <t>https://sapwdelb.pharma.aventis.com:9100/XMII</t>
  </si>
  <si>
    <t>GELSAPPMIIP01</t>
  </si>
  <si>
    <t>GELSDBHANAP01</t>
  </si>
  <si>
    <t>https://sapwdgel.gel1pr.com:9100/XMII</t>
  </si>
  <si>
    <t>https://sapwdgel.gel1pr.com:9100/nwa</t>
  </si>
  <si>
    <t>LTRSDBHANAP01</t>
  </si>
  <si>
    <t>ltrsappmiip01</t>
  </si>
  <si>
    <t>https://sapwdltr.pharma.aventis.com:9100/nwa</t>
  </si>
  <si>
    <t>https://sapwdltr.pharma.aventis.com:9100/XMII</t>
  </si>
  <si>
    <r>
      <t>RIE</t>
    </r>
    <r>
      <rPr>
        <sz val="11"/>
        <color theme="1"/>
        <rFont val="Calibri"/>
        <family val="2"/>
        <scheme val="minor"/>
      </rPr>
      <t>: PCR / PQR</t>
    </r>
  </si>
  <si>
    <t>PQI
PCI</t>
  </si>
  <si>
    <t>PQV
PCV</t>
  </si>
  <si>
    <t>PQQ
PCQ</t>
  </si>
  <si>
    <t>PQT
PCT</t>
  </si>
  <si>
    <t>PQX
PCX</t>
  </si>
  <si>
    <t>PQN
PCN</t>
  </si>
  <si>
    <t>P4L
PFL</t>
  </si>
  <si>
    <t>PQR
PCR</t>
  </si>
  <si>
    <t>https://sapwdrie.pharma.aventis.com:9100/nwa</t>
  </si>
  <si>
    <t>https://sapwdrie.pharma.aventis.com:9100/XMII</t>
  </si>
  <si>
    <t>Hostname</t>
  </si>
  <si>
    <t>HANA DB Version</t>
  </si>
  <si>
    <t>Mii Version</t>
  </si>
  <si>
    <t>MLE HANA</t>
  </si>
  <si>
    <t>PQI</t>
  </si>
  <si>
    <t>MLE MII</t>
  </si>
  <si>
    <t>PCI</t>
  </si>
  <si>
    <t>VDR HANA</t>
  </si>
  <si>
    <t>VDR MII</t>
  </si>
  <si>
    <t>GEL HANA</t>
  </si>
  <si>
    <t>GEL MII</t>
  </si>
  <si>
    <t>LTR HANA</t>
  </si>
  <si>
    <t>LTR MII</t>
  </si>
  <si>
    <t>ANA HANA</t>
  </si>
  <si>
    <t>ANA MII</t>
  </si>
  <si>
    <t>ELB HANA</t>
  </si>
  <si>
    <t>ELB MII</t>
  </si>
  <si>
    <t>RIE HANA</t>
  </si>
  <si>
    <t>RIE MII</t>
  </si>
  <si>
    <t>Site</t>
  </si>
  <si>
    <t>Marcy L'étoile</t>
  </si>
  <si>
    <t>Val de Reuil</t>
  </si>
  <si>
    <t>Geel</t>
  </si>
  <si>
    <t>Le Trait</t>
  </si>
  <si>
    <t>Anagni</t>
  </si>
  <si>
    <t>Elbeuf</t>
  </si>
  <si>
    <t>Riells</t>
  </si>
  <si>
    <t>Beijing</t>
  </si>
  <si>
    <t>BEI HANA</t>
  </si>
  <si>
    <t>BEI MII</t>
  </si>
  <si>
    <t>RIESDBHANAP01</t>
  </si>
  <si>
    <t>193.29.143.125</t>
  </si>
  <si>
    <t>193.29.143.124</t>
  </si>
  <si>
    <t>riesappmiip01</t>
  </si>
  <si>
    <t>193.29.143.93</t>
  </si>
  <si>
    <t>193.29.143.92</t>
  </si>
  <si>
    <t xml:space="preserve">193.29.143.189 </t>
  </si>
  <si>
    <t xml:space="preserve">193.29.143.190 </t>
  </si>
  <si>
    <t xml:space="preserve">SAP MII 15.3 on NetWeaver 7.5 </t>
  </si>
  <si>
    <t>HANA 2.0 SP4</t>
  </si>
  <si>
    <t>193.29.143.221</t>
  </si>
  <si>
    <t>193.29.143.222</t>
  </si>
  <si>
    <t>Domain</t>
  </si>
  <si>
    <t>pasteur.sanofi.ind</t>
  </si>
  <si>
    <t>gel1pr.com</t>
  </si>
  <si>
    <t>pharma.aventis.com</t>
  </si>
  <si>
    <t>SQO</t>
  </si>
  <si>
    <t>SQH</t>
  </si>
  <si>
    <t>mlesappmiit01</t>
  </si>
  <si>
    <t>mlesdbhanat01</t>
  </si>
  <si>
    <t>OS Version</t>
  </si>
  <si>
    <t>RHEL 7.6</t>
  </si>
  <si>
    <t>157.206.66.141</t>
  </si>
  <si>
    <t>157.206.66.142</t>
  </si>
  <si>
    <t>168.124.111.222</t>
  </si>
  <si>
    <t>168.124.111.221</t>
  </si>
  <si>
    <t>166.118.227.141</t>
  </si>
  <si>
    <t>166.118.227.140</t>
  </si>
  <si>
    <t>7.25.200.243</t>
  </si>
  <si>
    <t>7.25.200.244</t>
  </si>
  <si>
    <t>168.124.155.96</t>
  </si>
  <si>
    <t>168.124.155.97</t>
  </si>
  <si>
    <t>Local Site</t>
  </si>
  <si>
    <t>IS_1621393</t>
  </si>
  <si>
    <t>PFL</t>
  </si>
  <si>
    <t>P4L</t>
  </si>
  <si>
    <t>https://sapwdsuz.pharma.aventis.com:9100/nwa</t>
  </si>
  <si>
    <t>Suzano</t>
  </si>
  <si>
    <t>SUZ MII</t>
  </si>
  <si>
    <t>SUZ HANA</t>
  </si>
  <si>
    <t>SUZSAPPMIIP01</t>
  </si>
  <si>
    <t>SUZSDBHANAP01</t>
  </si>
  <si>
    <t>PCJ</t>
  </si>
  <si>
    <t>https://sapwdsuz.pharma.aventis.com:9100/XMII</t>
  </si>
  <si>
    <t>PQJ
PCJ</t>
  </si>
  <si>
    <t>155.65.49.139</t>
  </si>
  <si>
    <t>155.65.49.140</t>
  </si>
  <si>
    <t xml:space="preserve">    https://sapwdawsemea.pharma.aventis.com:9141/webdynpro/resources/sap.com/tc~lm~itsam~ui~mainframe~wd/FloorPlanApp?home=true </t>
  </si>
  <si>
    <t xml:space="preserve">    https://sapwdawsemea.pharma.aventis.com:9141/XMII/Illuminator?service=Personalization </t>
  </si>
  <si>
    <t>    https://sapwdawsemea.pharma.aventis.com:9141/OEEDashboard/WorkerUI.jsp</t>
  </si>
  <si>
    <t xml:space="preserve">Coment </t>
  </si>
  <si>
    <t>PQV</t>
  </si>
  <si>
    <t>PCV</t>
  </si>
  <si>
    <t>PQQ</t>
  </si>
  <si>
    <t>PCQ</t>
  </si>
  <si>
    <t>PQT</t>
  </si>
  <si>
    <t>PCT</t>
  </si>
  <si>
    <t>PQN</t>
  </si>
  <si>
    <t>PCN</t>
  </si>
  <si>
    <t>PQR</t>
  </si>
  <si>
    <t>PCR</t>
  </si>
  <si>
    <t>PQX</t>
  </si>
  <si>
    <t>PCX</t>
  </si>
  <si>
    <t>sapp4shdb</t>
  </si>
  <si>
    <t>sappfsjc</t>
  </si>
  <si>
    <t>Control-M agent</t>
  </si>
  <si>
    <t xml:space="preserve">Server Added in Control-M agent </t>
  </si>
  <si>
    <t>Servers added in Monitoring console</t>
  </si>
  <si>
    <t>Done</t>
  </si>
  <si>
    <t>Sisteron</t>
  </si>
  <si>
    <t>PQ9</t>
  </si>
  <si>
    <t>PC9</t>
  </si>
  <si>
    <t>sissappmiip01</t>
  </si>
  <si>
    <t>194.4.188.249</t>
  </si>
  <si>
    <t>SIS MII</t>
  </si>
  <si>
    <t>SIS HANA</t>
  </si>
  <si>
    <t>194.4.188.250</t>
  </si>
  <si>
    <t>sissdbhanap01</t>
  </si>
  <si>
    <t>SIS Prod</t>
  </si>
  <si>
    <t>PQ9
PC9</t>
  </si>
  <si>
    <t>https://sapwdsis.pharma.aventis.com:9100/nwa</t>
  </si>
  <si>
    <t>https://sapwdsis.pharma.aventis.com:9100/XMII</t>
  </si>
  <si>
    <t>MULTI-SITES  PLANT CONNECTIVITY</t>
  </si>
  <si>
    <t>IS_1699144</t>
  </si>
  <si>
    <t>Frankfurt</t>
  </si>
  <si>
    <t>FRA MII</t>
  </si>
  <si>
    <t>FRA HANA</t>
  </si>
  <si>
    <t>PQK</t>
  </si>
  <si>
    <t>frasappmiip01</t>
  </si>
  <si>
    <t>PCK</t>
  </si>
  <si>
    <t>frasdbhanap01</t>
  </si>
  <si>
    <r>
      <t>ANA</t>
    </r>
    <r>
      <rPr>
        <sz val="11"/>
        <color theme="1"/>
        <rFont val="Calibri"/>
        <family val="2"/>
        <scheme val="minor"/>
      </rPr>
      <t>: PCN / PQN</t>
    </r>
  </si>
  <si>
    <t>134.81.148.1</t>
  </si>
  <si>
    <t>134.81.148.2</t>
  </si>
  <si>
    <t>Ridgefield</t>
  </si>
  <si>
    <t>RDG MII</t>
  </si>
  <si>
    <t>RDG HANA</t>
  </si>
  <si>
    <t>RDGSAPPMIIP01</t>
  </si>
  <si>
    <t>RDGSDBHANAP01</t>
  </si>
  <si>
    <t>155.65.245.203</t>
  </si>
  <si>
    <t>155.65.245.204</t>
  </si>
  <si>
    <t>PQY</t>
  </si>
  <si>
    <t>PCY</t>
  </si>
  <si>
    <t>PQY
PCY</t>
  </si>
  <si>
    <t>https://sapwdrdg.pharma.aventis.com:9100/XMII</t>
  </si>
  <si>
    <t>https://sapwdrdg.pharma.aventis.com:9100/nwa</t>
  </si>
  <si>
    <t>FRA Prod</t>
  </si>
  <si>
    <t>PQK
PCK</t>
  </si>
  <si>
    <t>https://sapwdfra.pharma.aventis.com:9100/nwa</t>
  </si>
  <si>
    <t>https://sapwdfra.pharma.aventis.com:9100/XMII</t>
  </si>
  <si>
    <t>Framingham</t>
  </si>
  <si>
    <t>FRG MII</t>
  </si>
  <si>
    <t>FRG HANA</t>
  </si>
  <si>
    <t>PQP</t>
  </si>
  <si>
    <t>PCP</t>
  </si>
  <si>
    <t>FRGSAPPMIIP01</t>
  </si>
  <si>
    <t>FRGSDBHANAP01</t>
  </si>
  <si>
    <t>RDG Prod</t>
  </si>
  <si>
    <t>SUZ Prod</t>
  </si>
  <si>
    <t>PQP
PCP</t>
  </si>
  <si>
    <t>FRG Prod</t>
  </si>
  <si>
    <t>Toronto</t>
  </si>
  <si>
    <t>PQO</t>
  </si>
  <si>
    <t>PCO</t>
  </si>
  <si>
    <t>TORSAPPMIIP01</t>
  </si>
  <si>
    <t>TORSDBHANAP01</t>
  </si>
  <si>
    <t>TOR MII</t>
  </si>
  <si>
    <t>TOR HANA</t>
  </si>
  <si>
    <t>155.65.49.147</t>
  </si>
  <si>
    <t>155.65.49.148</t>
  </si>
  <si>
    <t>155.65.49.212</t>
  </si>
  <si>
    <t>155.65.49.211</t>
  </si>
  <si>
    <t>Neuville</t>
  </si>
  <si>
    <t>MLE SDB MII</t>
  </si>
  <si>
    <t>MLE SDB HANA</t>
  </si>
  <si>
    <t>NVL SDB MII</t>
  </si>
  <si>
    <t>NVL SDB HANA</t>
  </si>
  <si>
    <t>TQL</t>
  </si>
  <si>
    <t>TCL</t>
  </si>
  <si>
    <t>nvlsappmiit01</t>
  </si>
  <si>
    <t>7.74.108.150</t>
  </si>
  <si>
    <t>P4V</t>
  </si>
  <si>
    <t>PFV</t>
  </si>
  <si>
    <t>P4R</t>
  </si>
  <si>
    <t>PFR</t>
  </si>
  <si>
    <t>xspl70t635a</t>
  </si>
  <si>
    <t>10.24.70.241</t>
  </si>
  <si>
    <t>xspl70k393w</t>
  </si>
  <si>
    <t>10.24.70.239</t>
  </si>
  <si>
    <t>xspl70w416s</t>
  </si>
  <si>
    <t>10.24.70.221</t>
  </si>
  <si>
    <t>xspl70k323b</t>
  </si>
  <si>
    <t>10.24.70.208</t>
  </si>
  <si>
    <t>PQO
PCO</t>
  </si>
  <si>
    <t>TOR Prod</t>
  </si>
  <si>
    <t>x1e.2xlarge</t>
  </si>
  <si>
    <t>ENC Request Monitoring</t>
  </si>
  <si>
    <t>Implemented</t>
  </si>
  <si>
    <t>Splunk Installation</t>
  </si>
  <si>
    <t>Splunk OS &amp; Application Monitoring</t>
  </si>
  <si>
    <t>Commvault Install / Hana Backup / FS Backup</t>
  </si>
  <si>
    <t>MII 15.3</t>
  </si>
  <si>
    <t>IS_1714730</t>
  </si>
  <si>
    <t>IS_1714751</t>
  </si>
  <si>
    <t>IS_1714756</t>
  </si>
  <si>
    <t>IS_1714773</t>
  </si>
  <si>
    <t>IS_1714784</t>
  </si>
  <si>
    <t>IS_1714787</t>
  </si>
  <si>
    <t>IS_1714790</t>
  </si>
  <si>
    <t>IS_1714793</t>
  </si>
  <si>
    <t>IS_1718051</t>
  </si>
  <si>
    <t>Waterford</t>
  </si>
  <si>
    <t>PQW</t>
  </si>
  <si>
    <t>PCW</t>
  </si>
  <si>
    <t>WATSAPPMIIP01</t>
  </si>
  <si>
    <t>WATSDBHANAP01</t>
  </si>
  <si>
    <t>193.29.143.203</t>
  </si>
  <si>
    <t>193.29.143.204</t>
  </si>
  <si>
    <t>HANA 2.0 SP5 rev 2.00.052.00</t>
  </si>
  <si>
    <t>PQW
PCW</t>
  </si>
  <si>
    <t>WAT Prod</t>
  </si>
  <si>
    <t>https://sapwdwat.pharma.aventis.com:9100/XMII</t>
  </si>
  <si>
    <t>https://sapwdwat.pharma.aventis.com:9100/nwa</t>
  </si>
  <si>
    <t xml:space="preserve">    https://sapwdawsemea.pharma.aventis.com:9143/webdynpro/resources/sap.com/tc~lm~itsam~ui~mainframe~wd/FloorPlanApp?home=true </t>
  </si>
  <si>
    <t xml:space="preserve">    https://sapwdawsemea.pharma.aventis.com:9143/XMII/Illuminator?service=Personalization </t>
  </si>
  <si>
    <t>    https://sapwdawsemea.pharma.aventis.com:9143/OEEDashboard/WorkerUI.jsp</t>
  </si>
  <si>
    <t xml:space="preserve">    https://sapwdawsemea.pharma.aventis.com:9145/webdynpro/resources/sap.com/tc~lm~itsam~ui~mainframe~wd/FloorPlanApp?home=true </t>
  </si>
  <si>
    <t xml:space="preserve">    https://sapwdawsemea.pharma.aventis.com:9145/XMII/Illuminator?service=Personalization </t>
  </si>
  <si>
    <t>    https://sapwdawsemea.pharma.aventis.com:9145/OEEDashboard/WorkerUI.jsp</t>
  </si>
  <si>
    <t>sappfrjc</t>
  </si>
  <si>
    <t>sapp4rhdb</t>
  </si>
  <si>
    <t>sappfvjc</t>
  </si>
  <si>
    <t>sapp4vhdb</t>
  </si>
  <si>
    <t>TQL
TCL</t>
  </si>
  <si>
    <t xml:space="preserve">NVL SDB </t>
  </si>
  <si>
    <t>IS_1763755</t>
  </si>
  <si>
    <t>WAT MII</t>
  </si>
  <si>
    <t>WAT HANA</t>
  </si>
  <si>
    <t>HANA 2.0 SP5 rev 2.00.056.00</t>
  </si>
  <si>
    <t>https://sapwdmle.pasteur.sanofi.ind:9100/nwa</t>
  </si>
  <si>
    <t>https://sapwdmle.pasteur.sanofi.ind:9100/XMII</t>
  </si>
  <si>
    <t>SFDTOR.LOCAL</t>
  </si>
  <si>
    <t>Hyderabad</t>
  </si>
  <si>
    <t>MDA MII</t>
  </si>
  <si>
    <t>MDA HANA</t>
  </si>
  <si>
    <t>166.118.1.59</t>
  </si>
  <si>
    <t>166.118.1.60</t>
  </si>
  <si>
    <t>PF2</t>
  </si>
  <si>
    <t>P42</t>
  </si>
  <si>
    <t>NVL MII</t>
  </si>
  <si>
    <t>NVL HANA</t>
  </si>
  <si>
    <t>PQL</t>
  </si>
  <si>
    <t>PCL</t>
  </si>
  <si>
    <t>nvlsappmiip01</t>
  </si>
  <si>
    <t>PILAR</t>
  </si>
  <si>
    <t>PLR MII</t>
  </si>
  <si>
    <t>PLR HANA</t>
  </si>
  <si>
    <t>PF7</t>
  </si>
  <si>
    <t>P47</t>
  </si>
  <si>
    <t> 155.65.245.251</t>
  </si>
  <si>
    <t> 155.65.245.252</t>
  </si>
  <si>
    <t>fhm1pr.com</t>
  </si>
  <si>
    <t>MDASAPPMIIP01</t>
  </si>
  <si>
    <t>MDASDBHANAP01</t>
  </si>
  <si>
    <t>7.74.108.148</t>
  </si>
  <si>
    <t>PLRSAPPMIIP01</t>
  </si>
  <si>
    <t>PLRSDBHANAP01</t>
  </si>
  <si>
    <t>RHEL 7.9</t>
  </si>
  <si>
    <t>7.74.108.149</t>
  </si>
  <si>
    <t>PLR Prod</t>
  </si>
  <si>
    <t>PF7
P47</t>
  </si>
  <si>
    <t>NVL Prod</t>
  </si>
  <si>
    <t>PQL
PCL</t>
  </si>
  <si>
    <t>Splunk Agent Installation</t>
  </si>
  <si>
    <t>https://sapwdplr.pharma.aventis.com:9100/XMII</t>
  </si>
  <si>
    <t>https://sapwdplr.pharma.aventis.com:9100/nwa</t>
  </si>
  <si>
    <t>https://sapwdfrg.fhm1pr.com:9100/XMII</t>
  </si>
  <si>
    <t>https://sapwdfrg.fhm1pr.com:9100/nwa</t>
  </si>
  <si>
    <t>https://sapwdtor.SFDTOR.LOCAL:9100/XMII</t>
  </si>
  <si>
    <t>https://sapwdtor.SFDTOR.LOCAL:9100/nwa</t>
  </si>
  <si>
    <r>
      <t>MLE</t>
    </r>
    <r>
      <rPr>
        <sz val="11"/>
        <color theme="1"/>
        <rFont val="Calibri"/>
        <family val="2"/>
        <scheme val="minor"/>
      </rPr>
      <t xml:space="preserve">: PCI / PQI </t>
    </r>
  </si>
  <si>
    <r>
      <t>VDR</t>
    </r>
    <r>
      <rPr>
        <sz val="11"/>
        <color theme="1"/>
        <rFont val="Calibri"/>
        <family val="2"/>
        <scheme val="minor"/>
      </rPr>
      <t>: PCV / PQV</t>
    </r>
  </si>
  <si>
    <r>
      <t>GEL</t>
    </r>
    <r>
      <rPr>
        <sz val="11"/>
        <color theme="1"/>
        <rFont val="Calibri"/>
        <family val="2"/>
        <scheme val="minor"/>
      </rPr>
      <t>: PCQ / PQQ</t>
    </r>
  </si>
  <si>
    <r>
      <t>LTR</t>
    </r>
    <r>
      <rPr>
        <sz val="11"/>
        <color theme="1"/>
        <rFont val="Calibri"/>
        <family val="2"/>
        <scheme val="minor"/>
      </rPr>
      <t>: PCT / PQT</t>
    </r>
  </si>
  <si>
    <r>
      <t>BEI</t>
    </r>
    <r>
      <rPr>
        <sz val="11"/>
        <color theme="1"/>
        <rFont val="Calibri"/>
        <family val="2"/>
        <scheme val="minor"/>
      </rPr>
      <t>:  PCX / PQX</t>
    </r>
  </si>
  <si>
    <r>
      <t>SUZ</t>
    </r>
    <r>
      <rPr>
        <sz val="11"/>
        <color theme="1"/>
        <rFont val="Calibri"/>
        <family val="2"/>
        <scheme val="minor"/>
      </rPr>
      <t xml:space="preserve">: PCJ / PQJ </t>
    </r>
  </si>
  <si>
    <r>
      <t>SIS</t>
    </r>
    <r>
      <rPr>
        <sz val="11"/>
        <color theme="1"/>
        <rFont val="Calibri"/>
        <family val="2"/>
        <scheme val="minor"/>
      </rPr>
      <t>: PC9 / PQ9</t>
    </r>
  </si>
  <si>
    <r>
      <t>FRA</t>
    </r>
    <r>
      <rPr>
        <sz val="11"/>
        <color theme="1"/>
        <rFont val="Calibri"/>
        <family val="2"/>
        <scheme val="minor"/>
      </rPr>
      <t>: PCK / PQK</t>
    </r>
  </si>
  <si>
    <r>
      <t>RDG</t>
    </r>
    <r>
      <rPr>
        <sz val="11"/>
        <color theme="1"/>
        <rFont val="Calibri"/>
        <family val="2"/>
        <scheme val="minor"/>
      </rPr>
      <t>: PCY / PQY</t>
    </r>
  </si>
  <si>
    <r>
      <t>TOR</t>
    </r>
    <r>
      <rPr>
        <sz val="11"/>
        <color theme="1"/>
        <rFont val="Calibri"/>
        <family val="2"/>
        <scheme val="minor"/>
      </rPr>
      <t>:  PCO / PQO</t>
    </r>
  </si>
  <si>
    <r>
      <t>NVL SDX</t>
    </r>
    <r>
      <rPr>
        <sz val="11"/>
        <color theme="1"/>
        <rFont val="Calibri"/>
        <family val="2"/>
        <scheme val="minor"/>
      </rPr>
      <t>: TCL / TQL</t>
    </r>
  </si>
  <si>
    <r>
      <t>FRG</t>
    </r>
    <r>
      <rPr>
        <sz val="11"/>
        <color theme="1"/>
        <rFont val="Calibri"/>
        <family val="2"/>
        <scheme val="minor"/>
      </rPr>
      <t>: PCP / PQP</t>
    </r>
  </si>
  <si>
    <r>
      <t>WAT</t>
    </r>
    <r>
      <rPr>
        <sz val="11"/>
        <color theme="1"/>
        <rFont val="Calibri"/>
        <family val="2"/>
        <scheme val="minor"/>
      </rPr>
      <t>: PCW / PQW</t>
    </r>
  </si>
  <si>
    <r>
      <t>MDA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000000"/>
        <rFont val="Calibri"/>
        <family val="2"/>
        <scheme val="minor"/>
      </rPr>
      <t>P42 / PF2</t>
    </r>
  </si>
  <si>
    <r>
      <t>PLR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000000"/>
        <rFont val="Calibri"/>
        <family val="2"/>
        <scheme val="minor"/>
      </rPr>
      <t>P47 / PF7</t>
    </r>
  </si>
  <si>
    <r>
      <t>NVL:</t>
    </r>
    <r>
      <rPr>
        <sz val="11"/>
        <color theme="1"/>
        <rFont val="Calibri"/>
        <family val="2"/>
        <scheme val="minor"/>
      </rPr>
      <t xml:space="preserve"> PCL / PQL</t>
    </r>
  </si>
  <si>
    <r>
      <t>TOU:</t>
    </r>
    <r>
      <rPr>
        <sz val="11"/>
        <color theme="1"/>
        <rFont val="Calibri"/>
        <family val="2"/>
        <scheme val="minor"/>
      </rPr>
      <t xml:space="preserve"> PCE / PQE</t>
    </r>
  </si>
  <si>
    <t>tousappmiip01</t>
  </si>
  <si>
    <t>tousdbhanap01</t>
  </si>
  <si>
    <t>PCE</t>
  </si>
  <si>
    <t>TOU MII</t>
  </si>
  <si>
    <t>TOU HANA</t>
  </si>
  <si>
    <t>Tours</t>
  </si>
  <si>
    <t>168.124.155.3</t>
  </si>
  <si>
    <t>168.124.155.4</t>
  </si>
  <si>
    <t>PQE
PCE</t>
  </si>
  <si>
    <t>TOU Prod</t>
  </si>
  <si>
    <t>https://sapwdtou.pharma.aventis.com:9100/XMII</t>
  </si>
  <si>
    <t>https://sapwdtou.pharma.aventis.com:9100/nwa</t>
  </si>
  <si>
    <t>IS_1785687</t>
  </si>
  <si>
    <t>PUMA-Infrastructure operation manual</t>
  </si>
  <si>
    <t>Swiftwater</t>
  </si>
  <si>
    <t>SWT MII</t>
  </si>
  <si>
    <t>SWT HANA</t>
  </si>
  <si>
    <t>PF3</t>
  </si>
  <si>
    <t>P43</t>
  </si>
  <si>
    <t>SWTSDBHANAP01</t>
  </si>
  <si>
    <t>SWTSAPPMIIP01</t>
  </si>
  <si>
    <t>sanofi.pasteur.io</t>
  </si>
  <si>
    <t xml:space="preserve">CSYANIK </t>
  </si>
  <si>
    <t>Maison Alfort</t>
  </si>
  <si>
    <t>MAF MII</t>
  </si>
  <si>
    <t>MAF HANA</t>
  </si>
  <si>
    <t>CSV MII</t>
  </si>
  <si>
    <t>CSV HANA</t>
  </si>
  <si>
    <t>*PCF and PQF Decommissioned in December 2021</t>
  </si>
  <si>
    <t>mafsappmiit01</t>
  </si>
  <si>
    <t>csvsappmiip01</t>
  </si>
  <si>
    <t>csvsdbhanap01</t>
  </si>
  <si>
    <t>PCD</t>
  </si>
  <si>
    <t>PF1</t>
  </si>
  <si>
    <t>P41</t>
  </si>
  <si>
    <t>Commvault  Backup</t>
  </si>
  <si>
    <t>FS or DP agent backup</t>
  </si>
  <si>
    <t>AMB MII</t>
  </si>
  <si>
    <t>AMB HANA</t>
  </si>
  <si>
    <t>PF4</t>
  </si>
  <si>
    <t>P44</t>
  </si>
  <si>
    <t>ambsappmiip01</t>
  </si>
  <si>
    <t>ambsdbhanap01</t>
  </si>
  <si>
    <t>LYO MII</t>
  </si>
  <si>
    <t>LYO HANA</t>
  </si>
  <si>
    <t>PFO</t>
  </si>
  <si>
    <t>P4O</t>
  </si>
  <si>
    <t>lyosappmiip01</t>
  </si>
  <si>
    <t>lyosdbhanap01</t>
  </si>
  <si>
    <t>FRLIO1PR.COM</t>
  </si>
  <si>
    <t>PF1             P41</t>
  </si>
  <si>
    <t>CSV Prod</t>
  </si>
  <si>
    <t>https://sapwdcsv.pharma.aventis.com:9100/XMII</t>
  </si>
  <si>
    <t>https://sapwdcsv.pharma.aventis.com:9100/nwa</t>
  </si>
  <si>
    <t>PCD      PQD</t>
  </si>
  <si>
    <t>MAF  Prod</t>
  </si>
  <si>
    <t>https://sapwdmaf.pharma.aventis.com:9100/XMII</t>
  </si>
  <si>
    <t>https://sapwdmaf.pharma.aventis.com:9100/nwa</t>
  </si>
  <si>
    <t>AMB Prod</t>
  </si>
  <si>
    <t>ELB Prod</t>
  </si>
  <si>
    <t>https://sapwdamb.pharma.aventis.com:9100/XMII</t>
  </si>
  <si>
    <t>https://sapwdamb.pharma.aventis.com:9100/nwa</t>
  </si>
  <si>
    <t>LYO Prod</t>
  </si>
  <si>
    <t>https://sapwdlyo.FRLIO1PR.COM:9100/XMII</t>
  </si>
  <si>
    <t>https://sapwdlyo.pharma.aventis.com:9100/nwa</t>
  </si>
  <si>
    <t>PF3        P43</t>
  </si>
  <si>
    <t>PF4            P44</t>
  </si>
  <si>
    <t>SWT Prod</t>
  </si>
  <si>
    <t>https://sapwdswt.sanofi.pasteur.io:9100/XMII</t>
  </si>
  <si>
    <t>https://sapwdswt.sanofi.pasteur.io:9100/nwa</t>
  </si>
  <si>
    <t>SQO      SQH</t>
  </si>
  <si>
    <t>MLE SAND</t>
  </si>
  <si>
    <t>https://sapsqojc.pasteur.sanofi.ind:9100/XMII</t>
  </si>
  <si>
    <t>https://sapsqojc.pasteur.sanofi.ind:9100/nwa</t>
  </si>
  <si>
    <t>backupcontrol-M job configured and activation</t>
  </si>
  <si>
    <t>168.124.195.180</t>
  </si>
  <si>
    <t>168.124.195.181</t>
  </si>
  <si>
    <t>7.24.237.19</t>
  </si>
  <si>
    <t>7.24.237.20</t>
  </si>
  <si>
    <t>168.124.60.202</t>
  </si>
  <si>
    <t>168.124.60.204</t>
  </si>
  <si>
    <t>168.124.213.179</t>
  </si>
  <si>
    <t>168.124.213.180</t>
  </si>
  <si>
    <t xml:space="preserve">155.65.34.116 </t>
  </si>
  <si>
    <t xml:space="preserve">155.65.34.115 </t>
  </si>
  <si>
    <t>PLO MII</t>
  </si>
  <si>
    <t>PLO HANA</t>
  </si>
  <si>
    <t>SCO MII</t>
  </si>
  <si>
    <t>SCO HANA</t>
  </si>
  <si>
    <t>PQS</t>
  </si>
  <si>
    <t>PCS</t>
  </si>
  <si>
    <t>PFI</t>
  </si>
  <si>
    <t>P4I</t>
  </si>
  <si>
    <t>PLOSAPPMIIP01</t>
  </si>
  <si>
    <t>PLOSDBHANAP01</t>
  </si>
  <si>
    <t>77.75.70.139</t>
  </si>
  <si>
    <t>77.75.70.140</t>
  </si>
  <si>
    <t>SCOSAPPMIIP01</t>
  </si>
  <si>
    <t>SCOSDBHANAP01</t>
  </si>
  <si>
    <t>7.24.228.204</t>
  </si>
  <si>
    <t>7.24.228.203</t>
  </si>
  <si>
    <t>nvlsdbhanat01</t>
  </si>
  <si>
    <t>mafsdbhanat01</t>
  </si>
  <si>
    <r>
      <t xml:space="preserve">PLO: </t>
    </r>
    <r>
      <rPr>
        <sz val="11"/>
        <color theme="1"/>
        <rFont val="Calibri"/>
        <family val="2"/>
        <scheme val="minor"/>
      </rPr>
      <t>P4I / PFI</t>
    </r>
  </si>
  <si>
    <r>
      <t xml:space="preserve">SCO: </t>
    </r>
    <r>
      <rPr>
        <sz val="11"/>
        <color theme="1"/>
        <rFont val="Calibri"/>
        <family val="2"/>
        <scheme val="minor"/>
      </rPr>
      <t>PCS / PQS</t>
    </r>
  </si>
  <si>
    <r>
      <t xml:space="preserve">LYO: </t>
    </r>
    <r>
      <rPr>
        <sz val="11"/>
        <color theme="1"/>
        <rFont val="Calibri"/>
        <family val="2"/>
        <scheme val="minor"/>
      </rPr>
      <t>P4O / PFO</t>
    </r>
  </si>
  <si>
    <r>
      <t xml:space="preserve">AMB: </t>
    </r>
    <r>
      <rPr>
        <sz val="11"/>
        <color theme="1"/>
        <rFont val="Calibri"/>
        <family val="2"/>
        <scheme val="minor"/>
      </rPr>
      <t>P44 / PFO</t>
    </r>
  </si>
  <si>
    <t>IOM REAL-TIME EQUIPMENT MONITORING (EOEE) MII-AI AWS</t>
  </si>
  <si>
    <t>IP - eOEE_Mii Java Linux Installation</t>
  </si>
  <si>
    <t>IP - eOEE_Mii HANA database installation on linux - XS Advanced - HANA COCKPIT</t>
  </si>
  <si>
    <t>IP - eOEE_Mii HANA - XS Advanced Components Upgrade</t>
  </si>
  <si>
    <t>IP - eOEE_Mii HANA - XS Advanced Certifcates</t>
  </si>
  <si>
    <t>IP - eOEE_Mii - LDAP - SSO SAML2 Configuration</t>
  </si>
  <si>
    <t>IS_1714775</t>
  </si>
  <si>
    <t>IP - eOEE_Mii Post Actions</t>
  </si>
  <si>
    <t>IP - eOEE_Mii HTTPS Configuration</t>
  </si>
  <si>
    <t>IP - eOEE_Mii STREAMING ENGINE Java installation</t>
  </si>
  <si>
    <t>IP - eOEE_Mii STREAMING ENGINE HANA database installation - XS Advanced - HANA COCKPIT</t>
  </si>
  <si>
    <t>IP - eOEE_Mii HANA XSA Components Upgrade</t>
  </si>
  <si>
    <t>IS_1793522</t>
  </si>
  <si>
    <t>IP - eOEE_Mii HANA database upgrade SP05</t>
  </si>
  <si>
    <t>IS_1793544</t>
  </si>
  <si>
    <t>IP - eOEE_Mii Patch 15 Implementation</t>
  </si>
  <si>
    <t>IS_1798714</t>
  </si>
  <si>
    <t>IP - eOEE_Mii COMMVAULT Configuration</t>
  </si>
  <si>
    <t>IP - eOEE_Mii Web Disaptcher installation</t>
  </si>
  <si>
    <t>IS_1798893</t>
  </si>
  <si>
    <t>IS_1798958</t>
  </si>
  <si>
    <t>IP - eOEE_Mii SMD Installation and Solman Registration</t>
  </si>
  <si>
    <t>IS_1800394</t>
  </si>
  <si>
    <t>IP - eOEE_Mii - SSL Certificate Renewal Process</t>
  </si>
  <si>
    <t>MII AI - Multi Sites - Architecture Specification</t>
  </si>
  <si>
    <t>MII AI - Local Sites - Architecture Specification</t>
  </si>
  <si>
    <t>IS_1734707</t>
  </si>
  <si>
    <t>Flow Matrix_MII PCO</t>
  </si>
  <si>
    <t>CUT</t>
  </si>
  <si>
    <t>CUT MII</t>
  </si>
  <si>
    <t>CUT HANA</t>
  </si>
  <si>
    <t>P4U</t>
  </si>
  <si>
    <t>PFU</t>
  </si>
  <si>
    <t>155.65.83.228</t>
  </si>
  <si>
    <t>155.65.83.229</t>
  </si>
  <si>
    <t>SFDGLB.LOCAL</t>
  </si>
  <si>
    <t>Lyon</t>
  </si>
  <si>
    <t>Ambares</t>
  </si>
  <si>
    <t>Ploermel</t>
  </si>
  <si>
    <t>Scopito</t>
  </si>
  <si>
    <t>LUZ MII</t>
  </si>
  <si>
    <t>LUZ HANA</t>
  </si>
  <si>
    <t>Luleburgaz</t>
  </si>
  <si>
    <t>LUZSAPPMIIP01</t>
  </si>
  <si>
    <t>LUZSDBHANAP01</t>
  </si>
  <si>
    <t>PCU</t>
  </si>
  <si>
    <t>PQU</t>
  </si>
  <si>
    <t>7.27.176.38</t>
  </si>
  <si>
    <t>7.27.176.37</t>
  </si>
  <si>
    <t>In Progress</t>
  </si>
  <si>
    <t>PFU       P4U</t>
  </si>
  <si>
    <t>CUT Prod</t>
  </si>
  <si>
    <t>https://sapwdcut.SFDGLB.LOCAL:9100/XMII</t>
  </si>
  <si>
    <t>https://sapwdcut.SFDGLB.LOCAL:9100/nwa</t>
  </si>
  <si>
    <t>PLO Prod</t>
  </si>
  <si>
    <t>SCO Prod</t>
  </si>
  <si>
    <t>LUZ Prod</t>
  </si>
  <si>
    <t>https://sapwdplo.pharma.aventis.com:9100/XMII</t>
  </si>
  <si>
    <t>https://sapwdplo.pharma.aventis.com:9100/nwa</t>
  </si>
  <si>
    <t>https://sapwdsco.pharma.aventis.com:9100/XMII</t>
  </si>
  <si>
    <t>https://sapwdsco.pharma.aventis.com:9100/nwa</t>
  </si>
  <si>
    <t>https://sapwdluz.pharma.aventis.com:9100/XMII</t>
  </si>
  <si>
    <t>https://sapwdluz.pharma.aventis.com:9100/nwa</t>
  </si>
  <si>
    <r>
      <t xml:space="preserve">LUZ: </t>
    </r>
    <r>
      <rPr>
        <sz val="11"/>
        <color theme="1"/>
        <rFont val="Calibri"/>
        <family val="2"/>
        <scheme val="minor"/>
      </rPr>
      <t>PCU/PQU</t>
    </r>
  </si>
  <si>
    <r>
      <t xml:space="preserve">CUT: </t>
    </r>
    <r>
      <rPr>
        <sz val="11"/>
        <color theme="1"/>
        <rFont val="Calibri"/>
        <family val="2"/>
        <scheme val="minor"/>
      </rPr>
      <t>P4U/PFU</t>
    </r>
  </si>
  <si>
    <t>ControlM schedule</t>
  </si>
  <si>
    <t>MII_BCKP_SQH / MII_BCKP_SQH_SUN (STAG)</t>
  </si>
  <si>
    <t>MII_BCKP_PQI / MII_STOPSTART_PCI_PQI</t>
  </si>
  <si>
    <t>MII_BCKP_LOCAL_PCI / MII_BCKP_LOCAL_PCI_SUN / MII_BCKP_PCI_SUN</t>
  </si>
  <si>
    <t>MII_BCKP_LOCAL_PCV_PQV / MII_BCKP_PQV / MII_STOPSTART_PCV_PQV</t>
  </si>
  <si>
    <t>MII_BCKP_LOCAL_PCV / MII_BCKP_PCV_SUN</t>
  </si>
  <si>
    <t>MII_STOPSTART_PCQ_PQQ</t>
  </si>
  <si>
    <t>MII_BCKP_LOCAL_PCQ</t>
  </si>
  <si>
    <t>MII_BCKP_PQT / MII_STOPSTART_PCT_PQT</t>
  </si>
  <si>
    <t>MII_BCKP_LOCAL_PCT / MII_BCKP_PCT_SUN</t>
  </si>
  <si>
    <t>MII_STOPSTART_PCN_PQN</t>
  </si>
  <si>
    <t>MII_BCKP_LOCAL_PCN / MII_BCKP_PCN_SUN</t>
  </si>
  <si>
    <t>MII_BCKP_PCR / MII_BCKP_PCR_SUN</t>
  </si>
  <si>
    <t>MII_STOPSTART_PC9_PQ9</t>
  </si>
  <si>
    <t>MII_BCKP_LOCAL_PC9 / MII_BCKP_PC9 / MII_BCKP_PC9_SUN</t>
  </si>
  <si>
    <t>MII_STOPSTART_PCK_PQK</t>
  </si>
  <si>
    <t>MII_BCKP_LOCAL_PCK / MII_BCKP_PCK_SUN</t>
  </si>
  <si>
    <t>MII_BCKP_TCL / MII_BCKP_TCL_SUN (STAG)</t>
  </si>
  <si>
    <t>MII_STOPSTART_TCL_TQL (STAG)</t>
  </si>
  <si>
    <t>MII_BCKP_PCL / MII_BCKP_PCL_SUN</t>
  </si>
  <si>
    <t>MII_STOPSTART_PCW_PQW</t>
  </si>
  <si>
    <t>MII_BCKP_LOCAL_PCW / MII_BCKP_PCW / MII_BCKP_PCW_SUN</t>
  </si>
  <si>
    <t>MIIAI_BACKUP_RMAN_HOT_PQE / MIIAI_TECHNICAL_JOB_PQE</t>
  </si>
  <si>
    <t>MII_BCKP_PCE / MII_BCKP_PCE_SUN</t>
  </si>
  <si>
    <t>MII_STOPSTART_PCD_PQD / MIIAI_BACKUP_RMAN_HOT_PQD</t>
  </si>
  <si>
    <t>MII_BCKP_PCD_SUN / MII_BCKUP_LOCAL_PCD</t>
  </si>
  <si>
    <t>MII_STOPSTART_P41_PF1</t>
  </si>
  <si>
    <t>MII_BCKP_LOCAL_P41 / MII_BCKP_P41_SUN</t>
  </si>
  <si>
    <t>MII_BCKP_LOCAL_P44 / MII_BCKP_P44_SUN</t>
  </si>
  <si>
    <t>MII_BCKP_LOCAL_P4O / MII_BCKP_P4O_SUNDAY</t>
  </si>
  <si>
    <t>MII_BCKP_LOCAL_P4I / MII_BCKP_P4I_SUN</t>
  </si>
  <si>
    <t>MII_BCKP_LOCAL_PCS / MII_BCKP_PCS_SUN</t>
  </si>
  <si>
    <t>MII_BCKP_PCX / MII_BCKP_PCX_SUN</t>
  </si>
  <si>
    <t>MII_BCKP_LOCAL_PCJPQJ / MII_BCKP_PQJ / MII_STOPSTART_PCJ_PQJ</t>
  </si>
  <si>
    <t>MII_BCKP_LOCAL_PCYPQY / MII_STOPSTART_PCY_PQY</t>
  </si>
  <si>
    <t>MII_BCKP_LOCAL_PCY / MII_BCKP_PCY_SUN</t>
  </si>
  <si>
    <t>MII_BCKP_LOCAL_PCP</t>
  </si>
  <si>
    <t>MII_BCKP_LOCAL_PCO_PQO / MII_STOPSTART_PCO_PQO</t>
  </si>
  <si>
    <t>MII_BCKP_P47 / MII_BCKP_P47_SUN</t>
  </si>
  <si>
    <t>MII_BCKP_P43 / MII_BCKP_P43_SUN</t>
  </si>
  <si>
    <t>MII_BCKP_P4U / MII_BCKP_P4U_SUN</t>
  </si>
  <si>
    <t xml:space="preserve">	Vitry Chemistry </t>
  </si>
  <si>
    <t>CPV MII</t>
  </si>
  <si>
    <t>PFY</t>
  </si>
  <si>
    <t>CPVSAPPMIIP01</t>
  </si>
  <si>
    <t>77.75.69.180</t>
  </si>
  <si>
    <t>CPV HANA</t>
  </si>
  <si>
    <t>P4Y</t>
  </si>
  <si>
    <t>CPVSDBHANAP01</t>
  </si>
  <si>
    <t>77.75.69.181</t>
  </si>
  <si>
    <t xml:space="preserve">	Aramon</t>
  </si>
  <si>
    <t>ARA MII</t>
  </si>
  <si>
    <t>PF0</t>
  </si>
  <si>
    <t>ARASAPPMIIP01</t>
  </si>
  <si>
    <t>7.24.77.50</t>
  </si>
  <si>
    <t>ARA HANA</t>
  </si>
  <si>
    <t>P40</t>
  </si>
  <si>
    <t>ARASDBHANAP01</t>
  </si>
  <si>
    <t>7.24.77.49</t>
  </si>
  <si>
    <t xml:space="preserve">	Hangzhou</t>
  </si>
  <si>
    <t>HZG MII</t>
  </si>
  <si>
    <t>HZGSAPPMIIP01</t>
  </si>
  <si>
    <t>166.118.227.211</t>
  </si>
  <si>
    <t>HZG HANA</t>
  </si>
  <si>
    <t>PCM</t>
  </si>
  <si>
    <t>HZGSDBHANAP01</t>
  </si>
  <si>
    <t>166.118.227.212</t>
  </si>
  <si>
    <t>SIP MII</t>
  </si>
  <si>
    <t>PFJ</t>
  </si>
  <si>
    <t>SIPSAPPMIIP01</t>
  </si>
  <si>
    <t>166.118.31.165</t>
  </si>
  <si>
    <t>SIP HANA</t>
  </si>
  <si>
    <t>P4J</t>
  </si>
  <si>
    <t>SIPSDBHANAP01</t>
  </si>
  <si>
    <t>166.118.31.166</t>
  </si>
  <si>
    <t xml:space="preserve">	Shenzhen</t>
  </si>
  <si>
    <t>SZX MII</t>
  </si>
  <si>
    <t>PQZ</t>
  </si>
  <si>
    <t>SZXSAPPMIIP01</t>
  </si>
  <si>
    <t>166.118.227.220</t>
  </si>
  <si>
    <t>SZX HANA</t>
  </si>
  <si>
    <t>PCZ</t>
  </si>
  <si>
    <t>SZXSDBHANAP01</t>
  </si>
  <si>
    <t>166.118.227.221</t>
  </si>
  <si>
    <t xml:space="preserve">	Singapore </t>
  </si>
  <si>
    <t>CPV Prod</t>
  </si>
  <si>
    <t>ARA Prod</t>
  </si>
  <si>
    <t>https://sapwdcpv.pharma.aventis.com:9100/XMII</t>
  </si>
  <si>
    <t>https://sapwdcpv.pharma.aventis.com:9100/nwa</t>
  </si>
  <si>
    <t>https://sapwdara.pharma.aventis.com:9100/XMII</t>
  </si>
  <si>
    <t>https://sapwdara.pharma.aventis.com:9100/nwa</t>
  </si>
  <si>
    <t>HGZ Prod</t>
  </si>
  <si>
    <t>SIP Prod</t>
  </si>
  <si>
    <t>SZX Prod</t>
  </si>
  <si>
    <t>https://sapwdhgz.pharma.aventis.com:9100/nwa</t>
  </si>
  <si>
    <t>https://sapwdhgz.pharma.aventis.com:9100/XMII</t>
  </si>
  <si>
    <t>https://sapwdsip.pharma.aventis.com:9100/nwa</t>
  </si>
  <si>
    <t>https://sapwdsip.pharma.aventis.com:9100/XMII</t>
  </si>
  <si>
    <t>https://sapwdszx.pharma.aventis.com:9100/nwa</t>
  </si>
  <si>
    <t>https://sapwdszx.pharma.aventis.com:9100/XMII</t>
  </si>
  <si>
    <r>
      <t>CPV:</t>
    </r>
    <r>
      <rPr>
        <sz val="11"/>
        <color theme="1"/>
        <rFont val="Calibri"/>
        <family val="2"/>
        <scheme val="minor"/>
      </rPr>
      <t xml:space="preserve"> PFY/P4Y</t>
    </r>
  </si>
  <si>
    <r>
      <t xml:space="preserve">ARA: </t>
    </r>
    <r>
      <rPr>
        <sz val="11"/>
        <color theme="1"/>
        <rFont val="Calibri"/>
        <family val="2"/>
        <scheme val="minor"/>
      </rPr>
      <t>PF0/P40</t>
    </r>
  </si>
  <si>
    <r>
      <t>HGZ:</t>
    </r>
    <r>
      <rPr>
        <sz val="11"/>
        <color theme="1"/>
        <rFont val="Calibri"/>
        <family val="2"/>
        <scheme val="minor"/>
      </rPr>
      <t xml:space="preserve"> PQM/PCM</t>
    </r>
  </si>
  <si>
    <r>
      <t xml:space="preserve">SIP: </t>
    </r>
    <r>
      <rPr>
        <sz val="11"/>
        <color theme="1"/>
        <rFont val="Calibri"/>
        <family val="2"/>
        <scheme val="minor"/>
      </rPr>
      <t>PFJ/P4J</t>
    </r>
  </si>
  <si>
    <r>
      <t xml:space="preserve">SZX: </t>
    </r>
    <r>
      <rPr>
        <sz val="11"/>
        <color theme="1"/>
        <rFont val="Calibri"/>
        <family val="2"/>
        <scheme val="minor"/>
      </rPr>
      <t>PQJ/PCJ</t>
    </r>
  </si>
  <si>
    <t>Moved to Euroapi</t>
  </si>
  <si>
    <t>STAG</t>
  </si>
  <si>
    <t>PROD</t>
  </si>
  <si>
    <t>APAC ?</t>
  </si>
  <si>
    <t>Missing all</t>
  </si>
  <si>
    <t>Daily / Weekly / Stop-start OK</t>
  </si>
  <si>
    <t>Stop-start missing</t>
  </si>
  <si>
    <t>Weekly missing</t>
  </si>
  <si>
    <t>Weekly - Stop-start missing</t>
  </si>
  <si>
    <t>Ocoyoacac</t>
  </si>
  <si>
    <t>OCO MII</t>
  </si>
  <si>
    <t>OCO HANA</t>
  </si>
  <si>
    <t>155.65.58.251</t>
  </si>
  <si>
    <t>155.65.58.250</t>
  </si>
  <si>
    <t>OCOSAPPMIIP01</t>
  </si>
  <si>
    <t>OCOSDBHANAP01</t>
  </si>
  <si>
    <t>PCG</t>
  </si>
  <si>
    <t>xspl70p793b</t>
  </si>
  <si>
    <t>xspl70s835p</t>
  </si>
  <si>
    <t>10.24.70.235</t>
  </si>
  <si>
    <t>10.24.70.250</t>
  </si>
  <si>
    <t>DRP</t>
  </si>
  <si>
    <t>LNX-Q-M3-Su2-0400-1900</t>
  </si>
  <si>
    <t>LNX-Q-M2-Su2-0400-1900</t>
  </si>
  <si>
    <t>Compiègne</t>
  </si>
  <si>
    <t>CMP MII</t>
  </si>
  <si>
    <t>CMP HANA</t>
  </si>
  <si>
    <t>Lisieux</t>
  </si>
  <si>
    <t>PCA</t>
  </si>
  <si>
    <t>LISSAPPMIIP01</t>
  </si>
  <si>
    <t>LISSDBHANAP01</t>
  </si>
  <si>
    <t>P4M</t>
  </si>
  <si>
    <t>PFM</t>
  </si>
  <si>
    <t>CMPSAPPMIIP01</t>
  </si>
  <si>
    <t>168.124.93.41</t>
  </si>
  <si>
    <t>168.124.93.40</t>
  </si>
  <si>
    <t>168.124.66.165</t>
  </si>
  <si>
    <t>CMPSDBHANAP01</t>
  </si>
  <si>
    <t>168.124.66.166</t>
  </si>
  <si>
    <t>LIS MII</t>
  </si>
  <si>
    <t>LIS HANA</t>
  </si>
  <si>
    <r>
      <t xml:space="preserve">CMP: </t>
    </r>
    <r>
      <rPr>
        <sz val="11"/>
        <color theme="1"/>
        <rFont val="Calibri"/>
        <family val="2"/>
        <scheme val="minor"/>
      </rPr>
      <t>P4M/PFM</t>
    </r>
  </si>
  <si>
    <r>
      <t xml:space="preserve">LIS: </t>
    </r>
    <r>
      <rPr>
        <sz val="11"/>
        <color theme="1"/>
        <rFont val="Calibri"/>
        <family val="2"/>
        <scheme val="minor"/>
      </rPr>
      <t>PQA/PCA</t>
    </r>
  </si>
  <si>
    <r>
      <t xml:space="preserve">MAF: </t>
    </r>
    <r>
      <rPr>
        <sz val="11"/>
        <color theme="1"/>
        <rFont val="Calibri"/>
        <family val="2"/>
        <scheme val="minor"/>
      </rPr>
      <t>PQD/PCD</t>
    </r>
  </si>
  <si>
    <r>
      <t xml:space="preserve">CSV: </t>
    </r>
    <r>
      <rPr>
        <sz val="11"/>
        <color theme="1"/>
        <rFont val="Calibri"/>
        <family val="2"/>
        <scheme val="minor"/>
      </rPr>
      <t>PF1/P41</t>
    </r>
  </si>
  <si>
    <r>
      <t>OCO:</t>
    </r>
    <r>
      <rPr>
        <sz val="11"/>
        <color theme="1"/>
        <rFont val="Calibri"/>
        <family val="2"/>
        <scheme val="minor"/>
      </rPr>
      <t xml:space="preserve"> PCG/PQG</t>
    </r>
  </si>
  <si>
    <r>
      <t xml:space="preserve">SWT: </t>
    </r>
    <r>
      <rPr>
        <sz val="11"/>
        <color theme="1"/>
        <rFont val="Calibri"/>
        <family val="2"/>
        <scheme val="minor"/>
      </rPr>
      <t>P43/PF3</t>
    </r>
  </si>
  <si>
    <t>LIST Prod</t>
  </si>
  <si>
    <t>CMP Prod</t>
  </si>
  <si>
    <t>https://sapwdcmp.pharma.aventis.com:9100/XMII</t>
  </si>
  <si>
    <t>https://sapwdcmp.pharma.aventis.com:9100/nwa</t>
  </si>
  <si>
    <t>https://sapwdlis.pharma.aventis.com:9100/XMII</t>
  </si>
  <si>
    <t>https://sapwdlis.pharma.aventis.com:9100/nwa</t>
  </si>
  <si>
    <t>OCO Prod</t>
  </si>
  <si>
    <t>https://sapwdoco.sanofi.pasteur.io:9100/XMII</t>
  </si>
  <si>
    <t>https://sapwdoco.sanofi.pasteur.io:9100/nwa</t>
  </si>
  <si>
    <t>Kernel - 753 
Patch level - 900</t>
  </si>
  <si>
    <t>IS_1878484</t>
  </si>
  <si>
    <t>PUMA-Installation procedure - Audit Log Setup</t>
  </si>
  <si>
    <t>DEVnew</t>
  </si>
  <si>
    <t>D4N</t>
  </si>
  <si>
    <t>RHEL 8.6</t>
  </si>
  <si>
    <t>x2iedn.2xlarge</t>
  </si>
  <si>
    <t>11,813</t>
  </si>
  <si>
    <t>DQN</t>
  </si>
  <si>
    <t>r6i.xlarge</t>
  </si>
  <si>
    <t xml:space="preserve"> 6,127</t>
  </si>
  <si>
    <t>xsnl70s289k</t>
  </si>
  <si>
    <t>10.24.4.41</t>
  </si>
  <si>
    <t>xsnl70b538a</t>
  </si>
  <si>
    <t>10.24.4.61</t>
  </si>
  <si>
    <t>NQN</t>
  </si>
  <si>
    <t>xsnl70x658f</t>
  </si>
  <si>
    <t>10.24.4.58</t>
  </si>
  <si>
    <t>CUTSAPPMIIP01</t>
  </si>
  <si>
    <t>CUTSDBHANAP01</t>
  </si>
  <si>
    <t>KEP Version</t>
  </si>
  <si>
    <t>PCO Version</t>
  </si>
  <si>
    <t>ARA PCO</t>
  </si>
  <si>
    <t>LIS PCO</t>
  </si>
  <si>
    <t>CMP PCO</t>
  </si>
  <si>
    <t>BEI PCO</t>
  </si>
  <si>
    <t>HZG PCO</t>
  </si>
  <si>
    <t>SIP PCO</t>
  </si>
  <si>
    <t>SZX PCO</t>
  </si>
  <si>
    <t>MLE PCO</t>
  </si>
  <si>
    <t>VDR PCO</t>
  </si>
  <si>
    <t>GEL PCO</t>
  </si>
  <si>
    <t>LTR PCO</t>
  </si>
  <si>
    <t>ANA PCO</t>
  </si>
  <si>
    <t>RIE PCO</t>
  </si>
  <si>
    <t>SIS PCO</t>
  </si>
  <si>
    <t>FRA PCO</t>
  </si>
  <si>
    <t>NVL SDB PCO</t>
  </si>
  <si>
    <t>NVL PCO</t>
  </si>
  <si>
    <t>WAT PCO</t>
  </si>
  <si>
    <t>TOU PCO</t>
  </si>
  <si>
    <t>MAF PCO</t>
  </si>
  <si>
    <t>CSV PCO</t>
  </si>
  <si>
    <t>AMB PCO</t>
  </si>
  <si>
    <t>LYO PCO</t>
  </si>
  <si>
    <t>PLO PCO</t>
  </si>
  <si>
    <t>SCO PCO</t>
  </si>
  <si>
    <t>LUZ PCO</t>
  </si>
  <si>
    <t>CPV PCO</t>
  </si>
  <si>
    <t>SUZ PCO</t>
  </si>
  <si>
    <t>RDG PCO</t>
  </si>
  <si>
    <t>FRG PCO</t>
  </si>
  <si>
    <t>TOR PCO</t>
  </si>
  <si>
    <t>PLR PCO</t>
  </si>
  <si>
    <t>SWT PCO</t>
  </si>
  <si>
    <t>CUT PCO</t>
  </si>
  <si>
    <t>OCO PCO</t>
  </si>
  <si>
    <t>MLE KEP</t>
  </si>
  <si>
    <t>VDR KEP</t>
  </si>
  <si>
    <t>GEL KEP</t>
  </si>
  <si>
    <t>LTR KEP</t>
  </si>
  <si>
    <t>ANA KEP</t>
  </si>
  <si>
    <t>RIE KEP</t>
  </si>
  <si>
    <t>SIS KEP</t>
  </si>
  <si>
    <t>FRA KEP</t>
  </si>
  <si>
    <t>NVL SDB KEP</t>
  </si>
  <si>
    <t>NVL KEP</t>
  </si>
  <si>
    <t>WAT KEP</t>
  </si>
  <si>
    <t>TOU KEP</t>
  </si>
  <si>
    <t>MAF KEP</t>
  </si>
  <si>
    <t>CSV KEP</t>
  </si>
  <si>
    <t>AMB KEP</t>
  </si>
  <si>
    <t>LYO KEP</t>
  </si>
  <si>
    <t>PLO KEP</t>
  </si>
  <si>
    <t>SCO KEP</t>
  </si>
  <si>
    <t>LUZ KEP</t>
  </si>
  <si>
    <t>CPV KEP</t>
  </si>
  <si>
    <t>ARA KEP</t>
  </si>
  <si>
    <t>LIS KEP</t>
  </si>
  <si>
    <t>CMP KEP</t>
  </si>
  <si>
    <t>BEI KEP</t>
  </si>
  <si>
    <t>HZG KEP</t>
  </si>
  <si>
    <t>SIP KEP</t>
  </si>
  <si>
    <t>SZX KEP</t>
  </si>
  <si>
    <t>SUZ KEP</t>
  </si>
  <si>
    <t>RDG KEP</t>
  </si>
  <si>
    <t>FRG KEP</t>
  </si>
  <si>
    <t>TOR KEP</t>
  </si>
  <si>
    <t>PLR KEP</t>
  </si>
  <si>
    <t>SWT KEP</t>
  </si>
  <si>
    <t>CUT KEP</t>
  </si>
  <si>
    <t>OCO KEP</t>
  </si>
  <si>
    <t>uye1pr.com</t>
  </si>
  <si>
    <t>rdgsapppcop01</t>
  </si>
  <si>
    <t>Cologne</t>
  </si>
  <si>
    <t>Amilly</t>
  </si>
  <si>
    <t>CGN MII</t>
  </si>
  <si>
    <t>CGN HANA</t>
  </si>
  <si>
    <t>P4K</t>
  </si>
  <si>
    <t>CGNSAPPMIIP01</t>
  </si>
  <si>
    <t>CGNSDBHANAP01</t>
  </si>
  <si>
    <t>193.30.149.7</t>
  </si>
  <si>
    <t>TUA MII</t>
  </si>
  <si>
    <t>TUA HANA</t>
  </si>
  <si>
    <t>TUASAPPMIIP01</t>
  </si>
  <si>
    <t>TUASDBHANAP01</t>
  </si>
  <si>
    <t>193.30.149.8</t>
  </si>
  <si>
    <t>100.77.255.31</t>
  </si>
  <si>
    <t>100.77.255.30</t>
  </si>
  <si>
    <t>CGN Prod</t>
  </si>
  <si>
    <t>TUA Prod</t>
  </si>
  <si>
    <t>https://sapwdcgn.pharma.aventis.com:9100/XMII</t>
  </si>
  <si>
    <t>https://sapwdcgn.pharma.aventis.com:9100/nwa</t>
  </si>
  <si>
    <t>https://sapwdtua.pharma.aventis.com:9100/XMII</t>
  </si>
  <si>
    <t>https://sapwdtua.pharma.aventis.com:9100/nwa</t>
  </si>
  <si>
    <t>P4T</t>
  </si>
  <si>
    <t>CGN PCO</t>
  </si>
  <si>
    <t>CGN KEP</t>
  </si>
  <si>
    <t>TUA PCO</t>
  </si>
  <si>
    <t>TUA KEP</t>
  </si>
  <si>
    <t>FRGSAPPPCOP01</t>
  </si>
  <si>
    <t>OCOSAPPPCOP01</t>
  </si>
  <si>
    <t>CUTSAPPPCOP01</t>
  </si>
  <si>
    <t>mleSAPPPCOP01</t>
  </si>
  <si>
    <t>VDRSAPPPCOP01</t>
  </si>
  <si>
    <t>GELSAPPPCOP01</t>
  </si>
  <si>
    <t>ltrSAPPPCOP01</t>
  </si>
  <si>
    <t>ANASAPPPCOP01</t>
  </si>
  <si>
    <t>WATSAPPPCOP01</t>
  </si>
  <si>
    <t>csvSAPPPCOP01</t>
  </si>
  <si>
    <t>ambSAPPPCOP01</t>
  </si>
  <si>
    <t>lyoSAPPPCOP01</t>
  </si>
  <si>
    <t>PLOSAPPPCOP01</t>
  </si>
  <si>
    <t>SCOSAPPPCOP01</t>
  </si>
  <si>
    <t>LUZSAPPPCOP01</t>
  </si>
  <si>
    <t>CPVSAPPPCOP01</t>
  </si>
  <si>
    <t>ARASAPPPCOP01</t>
  </si>
  <si>
    <t>LISSAPPPCOP01</t>
  </si>
  <si>
    <t>CMPSAPPPCOP01</t>
  </si>
  <si>
    <t>BEISAPPPCOP01</t>
  </si>
  <si>
    <t>HZGSAPPPCOP01</t>
  </si>
  <si>
    <t>SIPSAPPPCOP01</t>
  </si>
  <si>
    <t>SZXSAPPPCOP01</t>
  </si>
  <si>
    <t>SUZSAPPPCOP01</t>
  </si>
  <si>
    <t>TORSAPPPCOP01</t>
  </si>
  <si>
    <t>PLRSAPPPCOP01</t>
  </si>
  <si>
    <t>SWTSAPPPCOP01</t>
  </si>
  <si>
    <t>MAFSAPPPCOP01</t>
  </si>
  <si>
    <t>rdgsappkepp01</t>
  </si>
  <si>
    <t>TORSAPPKEPP01</t>
  </si>
  <si>
    <t>PLRSAPPKEPP01</t>
  </si>
  <si>
    <t>SWTSAPPKEPP01</t>
  </si>
  <si>
    <t>CUTSAPPKEPP01</t>
  </si>
  <si>
    <t>OCOSAPPKEPP01</t>
  </si>
  <si>
    <t>mleSAPPKEPP01</t>
  </si>
  <si>
    <t>VDRSAPPKEPP01</t>
  </si>
  <si>
    <t>GELSAPPKEPP01</t>
  </si>
  <si>
    <t>LTRSAPPKEPP01</t>
  </si>
  <si>
    <t>ANASAPPKEPP01</t>
  </si>
  <si>
    <t>RIESAPPKEPP01</t>
  </si>
  <si>
    <t>WATSAPPKEPP01</t>
  </si>
  <si>
    <t>csvSAPPKEPP01</t>
  </si>
  <si>
    <t>ambSAPPKEPP01</t>
  </si>
  <si>
    <t>lyoSAPPKEPP01</t>
  </si>
  <si>
    <t>PLOSAPPKEPP01</t>
  </si>
  <si>
    <t>SCOSAPPKEPP01</t>
  </si>
  <si>
    <t>LUZSAPPKEPP01</t>
  </si>
  <si>
    <t>CPVSAPPKEPP01</t>
  </si>
  <si>
    <t>ARASAPPKEPP01</t>
  </si>
  <si>
    <t>LISSAPPKEPP01</t>
  </si>
  <si>
    <t>CMPSAPPKEPP01</t>
  </si>
  <si>
    <t>BEISAPPKEPP01</t>
  </si>
  <si>
    <t>HZGSAPPKEPP01</t>
  </si>
  <si>
    <t>SIPSAPPKEPP01</t>
  </si>
  <si>
    <t>SZXSAPPKEPP01</t>
  </si>
  <si>
    <t>SUZSAPPKEPP01</t>
  </si>
  <si>
    <t>FRGSAPPKEPP01</t>
  </si>
  <si>
    <t>NVLSAPPPCOP01</t>
  </si>
  <si>
    <t>NVLSAPPKEPP01</t>
  </si>
  <si>
    <t>TOUSAPPPCOP01</t>
  </si>
  <si>
    <t>TOUSAPPKEPP01</t>
  </si>
  <si>
    <t>RIESAPPPCOP01</t>
  </si>
  <si>
    <t>SISSAPPPCOP01</t>
  </si>
  <si>
    <t>SISSAPPKEPP01</t>
  </si>
  <si>
    <t>FRASAPPPCOP01</t>
  </si>
  <si>
    <t>FRASAPPKEPP01</t>
  </si>
  <si>
    <t>NVLSAPPPCOT01</t>
  </si>
  <si>
    <t>HANA Administrative Operations and services</t>
  </si>
  <si>
    <t>MIIDB_AMS</t>
  </si>
  <si>
    <t>MIIDB_HYPERCARE</t>
  </si>
  <si>
    <t>MIIDB_EXPERT</t>
  </si>
  <si>
    <t xml:space="preserve">Database account for Data Management </t>
  </si>
  <si>
    <t>AMP MII</t>
  </si>
  <si>
    <t>AMP HANA</t>
  </si>
  <si>
    <t>Singapore SIP</t>
  </si>
  <si>
    <t>Singapore TUAS</t>
  </si>
  <si>
    <t>AMPSAPPMIIP01</t>
  </si>
  <si>
    <t>AMPSDBHANAP01</t>
  </si>
  <si>
    <t>PF6</t>
  </si>
  <si>
    <t>P46</t>
  </si>
  <si>
    <t>168.124.60.189</t>
  </si>
  <si>
    <t>168.124.60.188</t>
  </si>
  <si>
    <t>AMP Prod</t>
  </si>
  <si>
    <t>https://sapwdamp.pharma.aventis.com:9100/XMII</t>
  </si>
  <si>
    <t>https://sapwdamp.pharma.aventis.com:9100/nwa</t>
  </si>
  <si>
    <t>https://sapwdnvl.pasteur.sanofi.ind:9100/XMII</t>
  </si>
  <si>
    <t>https://sapwdnvl.pasteur.sanofi.ind:9100/nwa</t>
  </si>
  <si>
    <t>PQT
P4T</t>
  </si>
  <si>
    <t>https://sapwdnvlp.pasteur.sanofi.ind:9100/XMII</t>
  </si>
  <si>
    <t>https://sapwdnvlp.pasteur.sanofi.ind:9100/nwa</t>
  </si>
  <si>
    <t>PFK</t>
  </si>
  <si>
    <t>PFK
P4K</t>
  </si>
  <si>
    <r>
      <t xml:space="preserve">TUA: </t>
    </r>
    <r>
      <rPr>
        <sz val="11"/>
        <color theme="1"/>
        <rFont val="Calibri"/>
        <family val="2"/>
        <scheme val="minor"/>
      </rPr>
      <t>PQT/P4T</t>
    </r>
  </si>
  <si>
    <r>
      <t xml:space="preserve">CGN: </t>
    </r>
    <r>
      <rPr>
        <sz val="11"/>
        <color theme="1"/>
        <rFont val="Calibri"/>
        <family val="2"/>
        <scheme val="minor"/>
      </rPr>
      <t>PFK/P4K</t>
    </r>
  </si>
  <si>
    <r>
      <t xml:space="preserve">AMP: </t>
    </r>
    <r>
      <rPr>
        <sz val="11"/>
        <color theme="1"/>
        <rFont val="Calibri"/>
        <family val="2"/>
        <scheme val="minor"/>
      </rPr>
      <t>PF6/P46</t>
    </r>
  </si>
  <si>
    <t>Site sold by Sanofi</t>
  </si>
  <si>
    <t>TUASAPPPCOP01</t>
  </si>
  <si>
    <t>TUASAPKEPP01</t>
  </si>
  <si>
    <t>Digital site leads an production times – https://sanofi.atlassian.net/wiki/spaces/MII/pages/63826497277/Site+leads+and+production+times</t>
  </si>
  <si>
    <t>Here I store the information of the sites, useful for scheduling maintenance downtimes for example.</t>
  </si>
  <si>
    <t>Quick reference – https://sanofi.atlassian.net/wiki/spaces/MII/pages/63860443948/Quick+reference</t>
  </si>
  <si>
    <t>Here I have the AIMS support groups, both the “email version” and the “Service Now version”.</t>
  </si>
  <si>
    <t>nvlsdbhanap01
nvlsdbhanap02</t>
  </si>
  <si>
    <t>7.74.108.147
7.74.108.151</t>
  </si>
  <si>
    <t>RHEL 7.9
RHEL 8.6</t>
  </si>
  <si>
    <t>HANA 2.0 SP5 rev 2.00.056.00
HANA 2.0 SP5 rev 2.00.059.00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</si>
</sst>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egoe U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8"/>
      <color theme="0"/>
      <name val="Arial"/>
      <family val="2"/>
    </font>
    <font>
      <sz val="11"/>
      <name val="Calibri"/>
      <family val="2"/>
      <scheme val="minor"/>
    </font>
    <font>
      <sz val="11"/>
      <color rgb="FF000000"/>
      <name val="Wingdings"/>
      <charset val="2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darkGray">
        <bgColor theme="4" tint="0.79995117038483843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0">
    <xf numFmtId="0" fontId="0" fillId="0" borderId="0" xfId="0"/>
    <xf numFmtId="0" fontId="0" fillId="3" borderId="0" xfId="0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3" borderId="0" xfId="0" applyFont="1" applyFill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5" fillId="3" borderId="5" xfId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4" fillId="3" borderId="0" xfId="1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 wrapText="1"/>
    </xf>
    <xf numFmtId="0" fontId="9" fillId="5" borderId="28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0" borderId="5" xfId="0" quotePrefix="1" applyFill="1" applyBorder="1" applyAlignment="1">
      <alignment horizontal="center" vertical="center"/>
    </xf>
    <xf numFmtId="0" fontId="0" fillId="10" borderId="5" xfId="0" applyFill="1" applyBorder="1"/>
    <xf numFmtId="0" fontId="18" fillId="10" borderId="5" xfId="0" applyFont="1" applyFill="1" applyBorder="1"/>
    <xf numFmtId="0" fontId="2" fillId="10" borderId="5" xfId="0" applyFont="1" applyFill="1" applyBorder="1"/>
    <xf numFmtId="0" fontId="0" fillId="10" borderId="5" xfId="0" quotePrefix="1" applyFill="1" applyBorder="1" applyAlignment="1">
      <alignment horizontal="left"/>
    </xf>
    <xf numFmtId="0" fontId="0" fillId="10" borderId="5" xfId="0" quotePrefix="1" applyFill="1" applyBorder="1"/>
    <xf numFmtId="0" fontId="0" fillId="10" borderId="5" xfId="0" applyFill="1" applyBorder="1" applyAlignment="1">
      <alignment horizontal="right"/>
    </xf>
    <xf numFmtId="3" fontId="0" fillId="10" borderId="5" xfId="0" applyNumberFormat="1" applyFill="1" applyBorder="1"/>
    <xf numFmtId="0" fontId="0" fillId="10" borderId="0" xfId="0" applyFill="1"/>
    <xf numFmtId="0" fontId="7" fillId="10" borderId="7" xfId="0" quotePrefix="1" applyFont="1" applyFill="1" applyBorder="1" applyAlignment="1">
      <alignment horizontal="left"/>
    </xf>
    <xf numFmtId="3" fontId="0" fillId="10" borderId="7" xfId="0" applyNumberFormat="1" applyFill="1" applyBorder="1" applyAlignment="1">
      <alignment horizontal="right"/>
    </xf>
    <xf numFmtId="3" fontId="0" fillId="10" borderId="7" xfId="0" applyNumberFormat="1" applyFill="1" applyBorder="1" applyAlignment="1">
      <alignment horizontal="left"/>
    </xf>
    <xf numFmtId="0" fontId="0" fillId="11" borderId="5" xfId="0" applyFill="1" applyBorder="1" applyAlignment="1">
      <alignment horizontal="center" vertical="center"/>
    </xf>
    <xf numFmtId="0" fontId="0" fillId="11" borderId="5" xfId="0" quotePrefix="1" applyFill="1" applyBorder="1" applyAlignment="1">
      <alignment horizontal="center" vertical="center"/>
    </xf>
    <xf numFmtId="0" fontId="0" fillId="11" borderId="5" xfId="0" applyFill="1" applyBorder="1"/>
    <xf numFmtId="0" fontId="18" fillId="11" borderId="5" xfId="0" applyFont="1" applyFill="1" applyBorder="1"/>
    <xf numFmtId="0" fontId="2" fillId="11" borderId="5" xfId="0" applyFont="1" applyFill="1" applyBorder="1"/>
    <xf numFmtId="0" fontId="0" fillId="11" borderId="5" xfId="0" quotePrefix="1" applyFill="1" applyBorder="1" applyAlignment="1">
      <alignment horizontal="left"/>
    </xf>
    <xf numFmtId="0" fontId="0" fillId="11" borderId="5" xfId="0" quotePrefix="1" applyFill="1" applyBorder="1"/>
    <xf numFmtId="0" fontId="0" fillId="11" borderId="5" xfId="0" applyFill="1" applyBorder="1" applyAlignment="1">
      <alignment horizontal="right"/>
    </xf>
    <xf numFmtId="3" fontId="0" fillId="11" borderId="5" xfId="0" applyNumberFormat="1" applyFill="1" applyBorder="1"/>
    <xf numFmtId="0" fontId="7" fillId="11" borderId="7" xfId="0" quotePrefix="1" applyFont="1" applyFill="1" applyBorder="1" applyAlignment="1">
      <alignment horizontal="left"/>
    </xf>
    <xf numFmtId="3" fontId="0" fillId="11" borderId="7" xfId="0" applyNumberFormat="1" applyFill="1" applyBorder="1" applyAlignment="1">
      <alignment horizontal="right"/>
    </xf>
    <xf numFmtId="3" fontId="0" fillId="11" borderId="7" xfId="0" applyNumberFormat="1" applyFill="1" applyBorder="1" applyAlignment="1">
      <alignment horizontal="left"/>
    </xf>
    <xf numFmtId="0" fontId="0" fillId="12" borderId="5" xfId="0" applyFill="1" applyBorder="1" applyAlignment="1">
      <alignment horizontal="center" vertical="center"/>
    </xf>
    <xf numFmtId="0" fontId="0" fillId="12" borderId="5" xfId="0" quotePrefix="1" applyFill="1" applyBorder="1" applyAlignment="1">
      <alignment horizontal="center" vertical="center"/>
    </xf>
    <xf numFmtId="0" fontId="0" fillId="12" borderId="5" xfId="0" applyFill="1" applyBorder="1"/>
    <xf numFmtId="0" fontId="18" fillId="12" borderId="5" xfId="0" applyFont="1" applyFill="1" applyBorder="1"/>
    <xf numFmtId="0" fontId="2" fillId="12" borderId="5" xfId="0" applyFont="1" applyFill="1" applyBorder="1"/>
    <xf numFmtId="0" fontId="0" fillId="12" borderId="5" xfId="0" quotePrefix="1" applyFill="1" applyBorder="1" applyAlignment="1">
      <alignment horizontal="left"/>
    </xf>
    <xf numFmtId="0" fontId="0" fillId="12" borderId="5" xfId="0" quotePrefix="1" applyFill="1" applyBorder="1"/>
    <xf numFmtId="0" fontId="0" fillId="12" borderId="5" xfId="0" applyFill="1" applyBorder="1" applyAlignment="1">
      <alignment horizontal="right"/>
    </xf>
    <xf numFmtId="3" fontId="0" fillId="12" borderId="5" xfId="0" applyNumberFormat="1" applyFill="1" applyBorder="1"/>
    <xf numFmtId="0" fontId="7" fillId="12" borderId="7" xfId="0" quotePrefix="1" applyFont="1" applyFill="1" applyBorder="1" applyAlignment="1">
      <alignment horizontal="left"/>
    </xf>
    <xf numFmtId="3" fontId="0" fillId="12" borderId="7" xfId="0" applyNumberFormat="1" applyFill="1" applyBorder="1" applyAlignment="1">
      <alignment horizontal="right"/>
    </xf>
    <xf numFmtId="3" fontId="0" fillId="12" borderId="7" xfId="0" applyNumberFormat="1" applyFill="1" applyBorder="1" applyAlignment="1">
      <alignment horizontal="left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5" fillId="0" borderId="5" xfId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1" fillId="2" borderId="18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0" fillId="13" borderId="5" xfId="0" applyFill="1" applyBorder="1" applyAlignment="1">
      <alignment vertical="center"/>
    </xf>
    <xf numFmtId="0" fontId="2" fillId="10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indent="10"/>
    </xf>
    <xf numFmtId="0" fontId="0" fillId="3" borderId="5" xfId="0" applyFill="1" applyBorder="1" applyAlignment="1">
      <alignment vertical="center"/>
    </xf>
    <xf numFmtId="0" fontId="2" fillId="14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vertical="center"/>
    </xf>
    <xf numFmtId="0" fontId="0" fillId="3" borderId="5" xfId="0" applyFill="1" applyBorder="1"/>
    <xf numFmtId="0" fontId="0" fillId="18" borderId="17" xfId="0" applyFill="1" applyBorder="1" applyAlignment="1">
      <alignment horizontal="center" vertical="center"/>
    </xf>
    <xf numFmtId="0" fontId="5" fillId="18" borderId="5" xfId="1" applyFill="1" applyBorder="1" applyAlignment="1">
      <alignment vertical="center"/>
    </xf>
    <xf numFmtId="0" fontId="5" fillId="18" borderId="5" xfId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5" fillId="19" borderId="5" xfId="1" applyFill="1" applyBorder="1" applyAlignment="1">
      <alignment vertical="center"/>
    </xf>
    <xf numFmtId="0" fontId="5" fillId="19" borderId="5" xfId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6" fillId="20" borderId="5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14" borderId="5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quotePrefix="1" applyFill="1" applyBorder="1" applyAlignment="1">
      <alignment horizontal="center" vertical="center"/>
    </xf>
    <xf numFmtId="0" fontId="0" fillId="18" borderId="5" xfId="0" applyFill="1" applyBorder="1"/>
    <xf numFmtId="0" fontId="18" fillId="18" borderId="5" xfId="0" applyFont="1" applyFill="1" applyBorder="1"/>
    <xf numFmtId="0" fontId="2" fillId="18" borderId="5" xfId="0" applyFont="1" applyFill="1" applyBorder="1"/>
    <xf numFmtId="0" fontId="0" fillId="18" borderId="5" xfId="0" quotePrefix="1" applyFill="1" applyBorder="1" applyAlignment="1">
      <alignment horizontal="left"/>
    </xf>
    <xf numFmtId="0" fontId="0" fillId="18" borderId="5" xfId="0" quotePrefix="1" applyFill="1" applyBorder="1"/>
    <xf numFmtId="0" fontId="0" fillId="14" borderId="5" xfId="0" quotePrefix="1" applyFill="1" applyBorder="1" applyAlignment="1">
      <alignment horizontal="center" vertical="center"/>
    </xf>
    <xf numFmtId="0" fontId="0" fillId="14" borderId="5" xfId="0" applyFill="1" applyBorder="1"/>
    <xf numFmtId="0" fontId="18" fillId="14" borderId="5" xfId="0" applyFont="1" applyFill="1" applyBorder="1"/>
    <xf numFmtId="0" fontId="2" fillId="14" borderId="5" xfId="0" applyFont="1" applyFill="1" applyBorder="1"/>
    <xf numFmtId="0" fontId="0" fillId="14" borderId="5" xfId="0" quotePrefix="1" applyFill="1" applyBorder="1" applyAlignment="1">
      <alignment horizontal="left"/>
    </xf>
    <xf numFmtId="0" fontId="0" fillId="14" borderId="5" xfId="0" quotePrefix="1" applyFill="1" applyBorder="1"/>
    <xf numFmtId="3" fontId="0" fillId="14" borderId="5" xfId="0" applyNumberFormat="1" applyFill="1" applyBorder="1" applyAlignment="1">
      <alignment horizontal="right"/>
    </xf>
    <xf numFmtId="3" fontId="0" fillId="14" borderId="5" xfId="0" applyNumberFormat="1" applyFill="1" applyBorder="1"/>
    <xf numFmtId="0" fontId="7" fillId="14" borderId="7" xfId="0" quotePrefix="1" applyFont="1" applyFill="1" applyBorder="1" applyAlignment="1">
      <alignment horizontal="left"/>
    </xf>
    <xf numFmtId="3" fontId="0" fillId="14" borderId="7" xfId="0" applyNumberFormat="1" applyFill="1" applyBorder="1" applyAlignment="1">
      <alignment horizontal="right"/>
    </xf>
    <xf numFmtId="3" fontId="0" fillId="14" borderId="7" xfId="0" applyNumberFormat="1" applyFill="1" applyBorder="1" applyAlignment="1">
      <alignment horizontal="left"/>
    </xf>
    <xf numFmtId="3" fontId="0" fillId="18" borderId="5" xfId="0" applyNumberFormat="1" applyFill="1" applyBorder="1" applyAlignment="1">
      <alignment horizontal="right"/>
    </xf>
    <xf numFmtId="3" fontId="0" fillId="18" borderId="5" xfId="0" applyNumberFormat="1" applyFill="1" applyBorder="1"/>
    <xf numFmtId="0" fontId="7" fillId="18" borderId="7" xfId="0" quotePrefix="1" applyFont="1" applyFill="1" applyBorder="1" applyAlignment="1">
      <alignment horizontal="left"/>
    </xf>
    <xf numFmtId="3" fontId="0" fillId="18" borderId="7" xfId="0" applyNumberFormat="1" applyFill="1" applyBorder="1" applyAlignment="1">
      <alignment horizontal="right"/>
    </xf>
    <xf numFmtId="3" fontId="0" fillId="18" borderId="7" xfId="0" applyNumberFormat="1" applyFill="1" applyBorder="1" applyAlignment="1">
      <alignment horizontal="left"/>
    </xf>
    <xf numFmtId="0" fontId="2" fillId="20" borderId="5" xfId="0" applyFont="1" applyFill="1" applyBorder="1" applyAlignment="1">
      <alignment horizontal="center" wrapText="1"/>
    </xf>
    <xf numFmtId="0" fontId="0" fillId="20" borderId="5" xfId="0" applyFill="1" applyBorder="1" applyAlignment="1">
      <alignment horizontal="center"/>
    </xf>
    <xf numFmtId="9" fontId="0" fillId="20" borderId="2" xfId="0" applyNumberFormat="1" applyFill="1" applyBorder="1" applyAlignment="1">
      <alignment horizontal="center" vertical="center"/>
    </xf>
    <xf numFmtId="0" fontId="5" fillId="3" borderId="5" xfId="1" applyFill="1" applyBorder="1" applyAlignment="1">
      <alignment vertical="center"/>
    </xf>
    <xf numFmtId="0" fontId="0" fillId="18" borderId="19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 wrapText="1"/>
    </xf>
    <xf numFmtId="0" fontId="0" fillId="18" borderId="19" xfId="0" applyFill="1" applyBorder="1" applyAlignment="1">
      <alignment horizontal="center" vertical="center" wrapText="1"/>
    </xf>
    <xf numFmtId="0" fontId="0" fillId="18" borderId="7" xfId="0" applyFill="1" applyBorder="1" applyAlignment="1">
      <alignment horizontal="center" vertical="center" wrapText="1"/>
    </xf>
    <xf numFmtId="0" fontId="0" fillId="19" borderId="1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5" xfId="0" quotePrefix="1" applyFill="1" applyBorder="1" applyAlignment="1">
      <alignment horizontal="center" vertical="center"/>
    </xf>
    <xf numFmtId="0" fontId="0" fillId="22" borderId="5" xfId="0" applyFill="1" applyBorder="1"/>
    <xf numFmtId="0" fontId="18" fillId="22" borderId="5" xfId="0" applyFont="1" applyFill="1" applyBorder="1"/>
    <xf numFmtId="0" fontId="2" fillId="22" borderId="5" xfId="0" applyFont="1" applyFill="1" applyBorder="1"/>
    <xf numFmtId="0" fontId="0" fillId="22" borderId="5" xfId="0" quotePrefix="1" applyFill="1" applyBorder="1" applyAlignment="1">
      <alignment horizontal="left"/>
    </xf>
    <xf numFmtId="0" fontId="0" fillId="22" borderId="5" xfId="0" quotePrefix="1" applyFill="1" applyBorder="1"/>
    <xf numFmtId="0" fontId="0" fillId="22" borderId="5" xfId="0" applyFill="1" applyBorder="1" applyAlignment="1">
      <alignment horizontal="right"/>
    </xf>
    <xf numFmtId="3" fontId="0" fillId="22" borderId="5" xfId="0" applyNumberFormat="1" applyFill="1" applyBorder="1"/>
    <xf numFmtId="0" fontId="7" fillId="22" borderId="7" xfId="0" quotePrefix="1" applyFont="1" applyFill="1" applyBorder="1" applyAlignment="1">
      <alignment horizontal="left"/>
    </xf>
    <xf numFmtId="3" fontId="0" fillId="22" borderId="7" xfId="0" applyNumberFormat="1" applyFill="1" applyBorder="1" applyAlignment="1">
      <alignment horizontal="right"/>
    </xf>
    <xf numFmtId="3" fontId="0" fillId="22" borderId="7" xfId="0" applyNumberFormat="1" applyFill="1" applyBorder="1" applyAlignment="1">
      <alignment horizontal="left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0" fillId="10" borderId="5" xfId="0" applyFill="1" applyBorder="1" applyAlignment="1">
      <alignment vertical="center"/>
    </xf>
    <xf numFmtId="0" fontId="2" fillId="19" borderId="5" xfId="0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5" xfId="0" applyFill="1" applyBorder="1" applyAlignment="1">
      <alignment vertical="center"/>
    </xf>
    <xf numFmtId="0" fontId="2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vertical="center"/>
    </xf>
    <xf numFmtId="0" fontId="0" fillId="14" borderId="18" xfId="0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/>
    </xf>
    <xf numFmtId="0" fontId="5" fillId="14" borderId="5" xfId="1" applyFill="1" applyBorder="1" applyAlignment="1">
      <alignment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 wrapText="1"/>
    </xf>
    <xf numFmtId="0" fontId="5" fillId="14" borderId="5" xfId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5" fillId="10" borderId="5" xfId="1" applyFill="1" applyBorder="1" applyAlignment="1">
      <alignment vertical="center"/>
    </xf>
    <xf numFmtId="0" fontId="5" fillId="10" borderId="5" xfId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5" fillId="13" borderId="5" xfId="1" applyFill="1" applyBorder="1" applyAlignment="1">
      <alignment vertical="center"/>
    </xf>
    <xf numFmtId="0" fontId="5" fillId="13" borderId="5" xfId="1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22" fillId="10" borderId="5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 wrapText="1"/>
    </xf>
    <xf numFmtId="0" fontId="0" fillId="19" borderId="7" xfId="0" applyFill="1" applyBorder="1" applyAlignment="1">
      <alignment horizontal="center" vertical="center" wrapText="1"/>
    </xf>
    <xf numFmtId="0" fontId="0" fillId="20" borderId="6" xfId="0" applyFill="1" applyBorder="1" applyAlignment="1">
      <alignment horizontal="center" vertical="center"/>
    </xf>
    <xf numFmtId="9" fontId="0" fillId="20" borderId="4" xfId="0" applyNumberFormat="1" applyFill="1" applyBorder="1" applyAlignment="1">
      <alignment horizontal="center" vertical="center"/>
    </xf>
    <xf numFmtId="0" fontId="2" fillId="20" borderId="6" xfId="0" applyFont="1" applyFill="1" applyBorder="1" applyAlignment="1">
      <alignment horizontal="center" wrapText="1"/>
    </xf>
    <xf numFmtId="0" fontId="0" fillId="20" borderId="6" xfId="0" applyFill="1" applyBorder="1" applyAlignment="1">
      <alignment horizontal="center"/>
    </xf>
    <xf numFmtId="0" fontId="6" fillId="20" borderId="6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2" borderId="5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0" fillId="24" borderId="2" xfId="0" applyFill="1" applyBorder="1" applyAlignment="1">
      <alignment horizontal="center" vertical="center"/>
    </xf>
    <xf numFmtId="0" fontId="0" fillId="19" borderId="33" xfId="0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22" fillId="24" borderId="2" xfId="0" applyFont="1" applyFill="1" applyBorder="1" applyAlignment="1">
      <alignment horizontal="center" vertical="center"/>
    </xf>
    <xf numFmtId="0" fontId="22" fillId="24" borderId="4" xfId="0" applyFont="1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2" fillId="21" borderId="5" xfId="0" applyFont="1" applyFill="1" applyBorder="1" applyAlignment="1">
      <alignment horizontal="center" wrapText="1"/>
    </xf>
    <xf numFmtId="0" fontId="0" fillId="21" borderId="5" xfId="0" applyFill="1" applyBorder="1" applyAlignment="1">
      <alignment horizontal="center"/>
    </xf>
    <xf numFmtId="0" fontId="2" fillId="21" borderId="2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7" borderId="5" xfId="0" quotePrefix="1" applyFill="1" applyBorder="1" applyAlignment="1">
      <alignment horizontal="center" vertical="center"/>
    </xf>
    <xf numFmtId="0" fontId="0" fillId="27" borderId="5" xfId="0" applyFill="1" applyBorder="1"/>
    <xf numFmtId="0" fontId="18" fillId="27" borderId="5" xfId="0" applyFont="1" applyFill="1" applyBorder="1"/>
    <xf numFmtId="0" fontId="2" fillId="27" borderId="5" xfId="0" applyFont="1" applyFill="1" applyBorder="1"/>
    <xf numFmtId="0" fontId="0" fillId="27" borderId="5" xfId="0" quotePrefix="1" applyFill="1" applyBorder="1" applyAlignment="1">
      <alignment horizontal="left"/>
    </xf>
    <xf numFmtId="0" fontId="0" fillId="27" borderId="5" xfId="0" quotePrefix="1" applyFill="1" applyBorder="1"/>
    <xf numFmtId="0" fontId="0" fillId="27" borderId="5" xfId="0" applyFill="1" applyBorder="1" applyAlignment="1">
      <alignment horizontal="center"/>
    </xf>
    <xf numFmtId="3" fontId="0" fillId="27" borderId="5" xfId="0" applyNumberFormat="1" applyFill="1" applyBorder="1" applyAlignment="1">
      <alignment horizontal="right"/>
    </xf>
    <xf numFmtId="3" fontId="0" fillId="27" borderId="5" xfId="0" applyNumberFormat="1" applyFill="1" applyBorder="1"/>
    <xf numFmtId="0" fontId="7" fillId="27" borderId="7" xfId="0" quotePrefix="1" applyFont="1" applyFill="1" applyBorder="1" applyAlignment="1">
      <alignment horizontal="left"/>
    </xf>
    <xf numFmtId="3" fontId="0" fillId="27" borderId="7" xfId="0" applyNumberFormat="1" applyFill="1" applyBorder="1" applyAlignment="1">
      <alignment horizontal="right"/>
    </xf>
    <xf numFmtId="3" fontId="0" fillId="27" borderId="7" xfId="0" applyNumberFormat="1" applyFill="1" applyBorder="1" applyAlignment="1">
      <alignment horizontal="left"/>
    </xf>
    <xf numFmtId="0" fontId="0" fillId="24" borderId="24" xfId="0" applyFill="1" applyBorder="1" applyAlignment="1">
      <alignment horizontal="center" vertical="center"/>
    </xf>
    <xf numFmtId="0" fontId="23" fillId="15" borderId="5" xfId="0" applyFont="1" applyFill="1" applyBorder="1" applyAlignment="1">
      <alignment horizontal="center" vertical="center"/>
    </xf>
    <xf numFmtId="0" fontId="22" fillId="15" borderId="31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vertical="center"/>
    </xf>
    <xf numFmtId="0" fontId="22" fillId="13" borderId="31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vertical="center"/>
    </xf>
    <xf numFmtId="0" fontId="22" fillId="4" borderId="31" xfId="0" applyFont="1" applyFill="1" applyBorder="1" applyAlignment="1">
      <alignment horizontal="center" vertical="center"/>
    </xf>
    <xf numFmtId="0" fontId="22" fillId="3" borderId="31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24" fillId="16" borderId="5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vertical="center"/>
    </xf>
    <xf numFmtId="0" fontId="23" fillId="10" borderId="5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 wrapText="1"/>
    </xf>
    <xf numFmtId="0" fontId="22" fillId="16" borderId="31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 wrapText="1"/>
    </xf>
    <xf numFmtId="0" fontId="22" fillId="19" borderId="31" xfId="0" applyFont="1" applyFill="1" applyBorder="1" applyAlignment="1">
      <alignment horizontal="center" vertical="center"/>
    </xf>
    <xf numFmtId="0" fontId="22" fillId="17" borderId="5" xfId="0" applyFont="1" applyFill="1" applyBorder="1" applyAlignment="1">
      <alignment horizontal="center" vertical="center"/>
    </xf>
    <xf numFmtId="0" fontId="24" fillId="17" borderId="5" xfId="0" applyFont="1" applyFill="1" applyBorder="1" applyAlignment="1">
      <alignment horizontal="center" vertical="center"/>
    </xf>
    <xf numFmtId="0" fontId="22" fillId="17" borderId="5" xfId="0" applyFont="1" applyFill="1" applyBorder="1" applyAlignment="1">
      <alignment vertical="center"/>
    </xf>
    <xf numFmtId="0" fontId="23" fillId="14" borderId="5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31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 wrapText="1"/>
    </xf>
    <xf numFmtId="0" fontId="22" fillId="18" borderId="31" xfId="0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 wrapText="1"/>
    </xf>
    <xf numFmtId="0" fontId="0" fillId="28" borderId="5" xfId="0" applyFill="1" applyBorder="1" applyAlignment="1">
      <alignment horizontal="center" vertical="center"/>
    </xf>
    <xf numFmtId="0" fontId="0" fillId="28" borderId="5" xfId="0" quotePrefix="1" applyFill="1" applyBorder="1" applyAlignment="1">
      <alignment horizontal="center" vertical="center"/>
    </xf>
    <xf numFmtId="0" fontId="0" fillId="28" borderId="5" xfId="0" applyFill="1" applyBorder="1"/>
    <xf numFmtId="0" fontId="18" fillId="28" borderId="5" xfId="0" applyFont="1" applyFill="1" applyBorder="1"/>
    <xf numFmtId="0" fontId="2" fillId="28" borderId="5" xfId="0" applyFont="1" applyFill="1" applyBorder="1"/>
    <xf numFmtId="0" fontId="0" fillId="28" borderId="5" xfId="0" quotePrefix="1" applyFill="1" applyBorder="1" applyAlignment="1">
      <alignment horizontal="left"/>
    </xf>
    <xf numFmtId="0" fontId="0" fillId="28" borderId="5" xfId="0" quotePrefix="1" applyFill="1" applyBorder="1"/>
    <xf numFmtId="0" fontId="0" fillId="28" borderId="5" xfId="0" applyFill="1" applyBorder="1" applyAlignment="1">
      <alignment horizontal="center"/>
    </xf>
    <xf numFmtId="3" fontId="0" fillId="28" borderId="5" xfId="0" applyNumberFormat="1" applyFill="1" applyBorder="1" applyAlignment="1">
      <alignment horizontal="right"/>
    </xf>
    <xf numFmtId="3" fontId="0" fillId="28" borderId="5" xfId="0" applyNumberFormat="1" applyFill="1" applyBorder="1"/>
    <xf numFmtId="0" fontId="0" fillId="28" borderId="0" xfId="0" applyFill="1"/>
    <xf numFmtId="0" fontId="7" fillId="28" borderId="7" xfId="0" quotePrefix="1" applyFont="1" applyFill="1" applyBorder="1" applyAlignment="1">
      <alignment horizontal="left"/>
    </xf>
    <xf numFmtId="3" fontId="0" fillId="28" borderId="7" xfId="0" applyNumberFormat="1" applyFill="1" applyBorder="1" applyAlignment="1">
      <alignment horizontal="right"/>
    </xf>
    <xf numFmtId="3" fontId="0" fillId="28" borderId="7" xfId="0" applyNumberFormat="1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0" fontId="0" fillId="7" borderId="5" xfId="0" applyFill="1" applyBorder="1" applyAlignment="1">
      <alignment horizontal="left"/>
    </xf>
    <xf numFmtId="0" fontId="7" fillId="7" borderId="5" xfId="0" quotePrefix="1" applyFont="1" applyFill="1" applyBorder="1" applyAlignment="1">
      <alignment horizontal="left"/>
    </xf>
    <xf numFmtId="3" fontId="0" fillId="7" borderId="5" xfId="0" applyNumberFormat="1" applyFill="1" applyBorder="1" applyAlignment="1">
      <alignment horizontal="right"/>
    </xf>
    <xf numFmtId="3" fontId="0" fillId="7" borderId="5" xfId="0" quotePrefix="1" applyNumberFormat="1" applyFill="1" applyBorder="1" applyAlignment="1">
      <alignment horizontal="right"/>
    </xf>
    <xf numFmtId="3" fontId="0" fillId="7" borderId="5" xfId="0" applyNumberFormat="1" applyFill="1" applyBorder="1" applyAlignment="1">
      <alignment horizontal="left"/>
    </xf>
    <xf numFmtId="3" fontId="0" fillId="7" borderId="5" xfId="0" applyNumberFormat="1" applyFill="1" applyBorder="1"/>
    <xf numFmtId="0" fontId="2" fillId="7" borderId="5" xfId="0" applyFont="1" applyFill="1" applyBorder="1"/>
    <xf numFmtId="0" fontId="4" fillId="29" borderId="1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 wrapText="1"/>
    </xf>
    <xf numFmtId="0" fontId="7" fillId="29" borderId="2" xfId="0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/>
    </xf>
    <xf numFmtId="0" fontId="4" fillId="29" borderId="1" xfId="0" applyFont="1" applyFill="1" applyBorder="1" applyAlignment="1">
      <alignment horizontal="center"/>
    </xf>
    <xf numFmtId="0" fontId="4" fillId="29" borderId="2" xfId="0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0" fontId="4" fillId="29" borderId="4" xfId="0" applyFont="1" applyFill="1" applyBorder="1" applyAlignment="1">
      <alignment horizontal="center"/>
    </xf>
    <xf numFmtId="0" fontId="2" fillId="29" borderId="5" xfId="0" applyFont="1" applyFill="1" applyBorder="1" applyAlignment="1">
      <alignment horizontal="center" vertical="center"/>
    </xf>
    <xf numFmtId="0" fontId="0" fillId="29" borderId="5" xfId="0" applyFill="1" applyBorder="1" applyAlignment="1">
      <alignment horizontal="center" vertical="center"/>
    </xf>
    <xf numFmtId="0" fontId="0" fillId="29" borderId="5" xfId="0" applyFill="1" applyBorder="1" applyAlignment="1">
      <alignment vertical="center"/>
    </xf>
    <xf numFmtId="0" fontId="22" fillId="29" borderId="5" xfId="0" applyFont="1" applyFill="1" applyBorder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 wrapText="1"/>
    </xf>
    <xf numFmtId="0" fontId="22" fillId="10" borderId="3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22" fillId="0" borderId="0" xfId="0" applyFont="1"/>
    <xf numFmtId="0" fontId="5" fillId="0" borderId="0" xfId="1"/>
    <xf numFmtId="0" fontId="16" fillId="6" borderId="26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9" fillId="9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0" fillId="29" borderId="18" xfId="0" applyFill="1" applyBorder="1" applyAlignment="1">
      <alignment horizontal="center" vertical="center"/>
    </xf>
    <xf numFmtId="0" fontId="0" fillId="29" borderId="7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29" borderId="5" xfId="0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0" fontId="22" fillId="15" borderId="19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16" borderId="18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22" fillId="17" borderId="5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13" borderId="1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13" borderId="19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TargetMode="External"/><Relationship Id="rId21" Type="http://schemas.openxmlformats.org/officeDocument/2006/relationships/hyperlink" Target="https://sapwdfra.pharma.aventis.com:9100/XMII" TargetMode="External"/><Relationship Id="rId42" Type="http://schemas.openxmlformats.org/officeDocument/2006/relationships/hyperlink" Target="https://sapwdlyo.frlio1pr.com:9100/XMII" TargetMode="External"/><Relationship Id="rId47" Type="http://schemas.openxmlformats.org/officeDocument/2006/relationships/hyperlink" Target="https://sapwdplo.pharma.aventis.com:9100/nwa" TargetMode="External"/><Relationship Id="rId63" Type="http://schemas.openxmlformats.org/officeDocument/2006/relationships/hyperlink" Target="https://sapwdoco.sanofi.pasteur.io:9100/nwa" TargetMode="External"/><Relationship Id="rId68" Type="http://schemas.openxmlformats.org/officeDocument/2006/relationships/hyperlink" Target="https://sapwdtua.pharma.aventis.com:9100/nwa" TargetMode="External"/><Relationship Id="rId7" Type="http://schemas.openxmlformats.org/officeDocument/2006/relationships/hyperlink" Target="https://sapwdltr.pharma.aventis.com:9100/XMII" TargetMode="External"/><Relationship Id="rId2" Type="http://schemas.openxmlformats.org/officeDocument/2006/relationships/hyperlink" Target="https://sapwdmle.pasteur.sanofi.ind:9100/nwa" TargetMode="External"/><Relationship Id="rId16" Type="http://schemas.openxmlformats.org/officeDocument/2006/relationships/hyperlink" Target="https://sapwdrie.pharma.aventis.com:9100/XMII" TargetMode="External"/><Relationship Id="rId29" Type="http://schemas.openxmlformats.org/officeDocument/2006/relationships/hyperlink" Target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TargetMode="External"/><Relationship Id="rId11" Type="http://schemas.openxmlformats.org/officeDocument/2006/relationships/hyperlink" Target="https://eur01.safelinks.protection.outlook.com/?url=https%3A%2F%2Fsapwdana.pharma.aventis.com%3A9100%2FXMII&amp;data=04%7C01%7CJacques.Robert%40sanofi.com%7C7caea3bbed5c477afa2408d8c31d7e0e%7Caca3c8d6aa714e1aa10e03572fc58c0b%7C0%7C0%7C637473878877360330%7CUnknown%7CTWFpbGZsb3d8eyJWIjoiMC4wLjAwMDAiLCJQIjoiV2luMzIiLCJBTiI6Ik1haWwiLCJXVCI6Mn0%3D%7C1000&amp;sdata=EtleXOA1PaWJlt25A2o6T6dzwqW%2FOsO2%2F32ySE%2BZAsA%3D&amp;reserved=0" TargetMode="External"/><Relationship Id="rId24" Type="http://schemas.openxmlformats.org/officeDocument/2006/relationships/hyperlink" Target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TargetMode="External"/><Relationship Id="rId32" Type="http://schemas.openxmlformats.org/officeDocument/2006/relationships/hyperlink" Target="https://sapwdnvl.pasteur.sanofi.ind:9100/XMII" TargetMode="External"/><Relationship Id="rId37" Type="http://schemas.openxmlformats.org/officeDocument/2006/relationships/hyperlink" Target="https://sapwdcsv.pharma.aventis.com:9100/nwa" TargetMode="External"/><Relationship Id="rId40" Type="http://schemas.openxmlformats.org/officeDocument/2006/relationships/hyperlink" Target="https://sapwdamb.pharma.aventis.com:9100/XMII" TargetMode="External"/><Relationship Id="rId45" Type="http://schemas.openxmlformats.org/officeDocument/2006/relationships/hyperlink" Target="https://sapsqojc.pasteur.sanofi.ind:9100/nwa" TargetMode="External"/><Relationship Id="rId53" Type="http://schemas.openxmlformats.org/officeDocument/2006/relationships/hyperlink" Target="https://sapwdcpv.pharma.aventis.com:9100/nwa" TargetMode="External"/><Relationship Id="rId58" Type="http://schemas.openxmlformats.org/officeDocument/2006/relationships/hyperlink" Target="https://sapwdlis.pharma.aventis.com:9100/XMII" TargetMode="External"/><Relationship Id="rId66" Type="http://schemas.openxmlformats.org/officeDocument/2006/relationships/hyperlink" Target="https://sapwdamp.pharma.aventis.com:9100/XMII" TargetMode="External"/><Relationship Id="rId5" Type="http://schemas.openxmlformats.org/officeDocument/2006/relationships/hyperlink" Target="https://sapwdgel.gel1pr.com:9100/XMII" TargetMode="External"/><Relationship Id="rId61" Type="http://schemas.openxmlformats.org/officeDocument/2006/relationships/hyperlink" Target="https://sapwdcmp.pharma.aventis.com:9100/nwa" TargetMode="External"/><Relationship Id="rId19" Type="http://schemas.openxmlformats.org/officeDocument/2006/relationships/hyperlink" Target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TargetMode="External"/><Relationship Id="rId14" Type="http://schemas.openxmlformats.org/officeDocument/2006/relationships/hyperlink" Target="https://eur01.safelinks.protection.outlook.com/?url=https%3A%2F%2Fsapwdelb.pharma.aventis.com%3A9100%2Fnwa&amp;data=04%7C01%7CJacques.Robert%40sanofi.com%7C7caea3bbed5c477afa2408d8c31d7e0e%7Caca3c8d6aa714e1aa10e03572fc58c0b%7C0%7C0%7C637473878877370279%7CUnknown%7CTWFpbGZsb3d8eyJWIjoiMC4wLjAwMDAiLCJQIjoiV2luMzIiLCJBTiI6Ik1haWwiLCJXVCI6Mn0%3D%7C1000&amp;sdata=8W9ULdZE9v9FjiqCjKlq08CztN0TgV0RiAVYP1JWoQE%3D&amp;reserved=0" TargetMode="External"/><Relationship Id="rId22" Type="http://schemas.openxmlformats.org/officeDocument/2006/relationships/hyperlink" Target="https://sapwdnvlp.pasteur.sanofi.ind:9100/nwa" TargetMode="External"/><Relationship Id="rId27" Type="http://schemas.openxmlformats.org/officeDocument/2006/relationships/hyperlink" Target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TargetMode="External"/><Relationship Id="rId30" Type="http://schemas.openxmlformats.org/officeDocument/2006/relationships/hyperlink" Target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TargetMode="External"/><Relationship Id="rId35" Type="http://schemas.openxmlformats.org/officeDocument/2006/relationships/hyperlink" Target="https://sapwdtou.pharma.aventis.com:9100/XMII" TargetMode="External"/><Relationship Id="rId43" Type="http://schemas.openxmlformats.org/officeDocument/2006/relationships/hyperlink" Target="https://sapwdlyo.pharma.aventis.com:9100/nwa" TargetMode="External"/><Relationship Id="rId48" Type="http://schemas.openxmlformats.org/officeDocument/2006/relationships/hyperlink" Target="https://sapwdsco.pharma.aventis.com:9100/XMII" TargetMode="External"/><Relationship Id="rId56" Type="http://schemas.openxmlformats.org/officeDocument/2006/relationships/hyperlink" Target="https://sapwdsco.pharma.aventis.com:9100/XMII" TargetMode="External"/><Relationship Id="rId64" Type="http://schemas.openxmlformats.org/officeDocument/2006/relationships/hyperlink" Target="https://sapwdcgn.pharma.aventis.com:9100/XMII" TargetMode="External"/><Relationship Id="rId69" Type="http://schemas.openxmlformats.org/officeDocument/2006/relationships/hyperlink" Target="https://sapwdtua.pharma.aventis.com:9100/XMII" TargetMode="External"/><Relationship Id="rId8" Type="http://schemas.openxmlformats.org/officeDocument/2006/relationships/hyperlink" Target="https://sapwdltr.pharma.aventis.com:9100/nwa" TargetMode="External"/><Relationship Id="rId51" Type="http://schemas.openxmlformats.org/officeDocument/2006/relationships/hyperlink" Target="https://sapwdluz.pharma.aventis.com:9100/nwa" TargetMode="External"/><Relationship Id="rId3" Type="http://schemas.openxmlformats.org/officeDocument/2006/relationships/hyperlink" Target="https://sapwdvdr.pharma.aventis.com:9100/nwa" TargetMode="External"/><Relationship Id="rId12" Type="http://schemas.openxmlformats.org/officeDocument/2006/relationships/hyperlink" Target="https://eur01.safelinks.protection.outlook.com/?url=https%3A%2F%2Fsapwdana.pharma.aventis.com%3A9100%2Fnwa&amp;data=04%7C01%7CJacques.Robert%40sanofi.com%7C7caea3bbed5c477afa2408d8c31d7e0e%7Caca3c8d6aa714e1aa10e03572fc58c0b%7C0%7C0%7C637473878877360330%7CUnknown%7CTWFpbGZsb3d8eyJWIjoiMC4wLjAwMDAiLCJQIjoiV2luMzIiLCJBTiI6Ik1haWwiLCJXVCI6Mn0%3D%7C1000&amp;sdata=DoklWinfHcdgQX8IBJeFtm3aLT1WTc64EwUdTi%2FUvOo%3D&amp;reserved=0" TargetMode="External"/><Relationship Id="rId17" Type="http://schemas.openxmlformats.org/officeDocument/2006/relationships/hyperlink" Target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TargetMode="External"/><Relationship Id="rId25" Type="http://schemas.openxmlformats.org/officeDocument/2006/relationships/hyperlink" Target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TargetMode="External"/><Relationship Id="rId33" Type="http://schemas.openxmlformats.org/officeDocument/2006/relationships/hyperlink" Target="https://sapwdnvl.pasteur.sanofi.ind:9100/nwa" TargetMode="External"/><Relationship Id="rId38" Type="http://schemas.openxmlformats.org/officeDocument/2006/relationships/hyperlink" Target="https://sapwdmaf.pharma.aventis.com:9100/XMII" TargetMode="External"/><Relationship Id="rId46" Type="http://schemas.openxmlformats.org/officeDocument/2006/relationships/hyperlink" Target="https://sapwdplo.pharma.aventis.com:9100/XMII" TargetMode="External"/><Relationship Id="rId59" Type="http://schemas.openxmlformats.org/officeDocument/2006/relationships/hyperlink" Target="https://sapwdlis.pharma.aventis.com:9100/nwa" TargetMode="External"/><Relationship Id="rId67" Type="http://schemas.openxmlformats.org/officeDocument/2006/relationships/hyperlink" Target="https://sapwdamp.pharma.aventis.com:9100/nwa" TargetMode="External"/><Relationship Id="rId20" Type="http://schemas.openxmlformats.org/officeDocument/2006/relationships/hyperlink" Target="https://sapwdfra.pharma.aventis.com:9100/nwa" TargetMode="External"/><Relationship Id="rId41" Type="http://schemas.openxmlformats.org/officeDocument/2006/relationships/hyperlink" Target="https://sapwdamb.pharma.aventis.com:9100/nwa" TargetMode="External"/><Relationship Id="rId54" Type="http://schemas.openxmlformats.org/officeDocument/2006/relationships/hyperlink" Target="https://sapwdara.pharma.aventis.com:9100/XMII" TargetMode="External"/><Relationship Id="rId62" Type="http://schemas.openxmlformats.org/officeDocument/2006/relationships/hyperlink" Target="https://sapwdoco.sanofi.pasteur.io:9100/XMII" TargetMode="External"/><Relationship Id="rId70" Type="http://schemas.openxmlformats.org/officeDocument/2006/relationships/printerSettings" Target="../printerSettings/printerSettings4.bin"/><Relationship Id="rId1" Type="http://schemas.openxmlformats.org/officeDocument/2006/relationships/hyperlink" Target="https://sapwdmle.pasteur.sanofi.ind:9100/XMII" TargetMode="External"/><Relationship Id="rId6" Type="http://schemas.openxmlformats.org/officeDocument/2006/relationships/hyperlink" Target="https://sapwdgel.gel1pr.com:9100/nwa" TargetMode="External"/><Relationship Id="rId15" Type="http://schemas.openxmlformats.org/officeDocument/2006/relationships/hyperlink" Target="https://sapwdrie.pharma.aventis.com:9100/nwa" TargetMode="External"/><Relationship Id="rId23" Type="http://schemas.openxmlformats.org/officeDocument/2006/relationships/hyperlink" Target="https://sapwdnvlp.pasteur.sanofi.ind:9100/XMII" TargetMode="External"/><Relationship Id="rId28" Type="http://schemas.openxmlformats.org/officeDocument/2006/relationships/hyperlink" Target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TargetMode="External"/><Relationship Id="rId36" Type="http://schemas.openxmlformats.org/officeDocument/2006/relationships/hyperlink" Target="https://sapwdcsv.pharma.aventis.com:9100/XMII" TargetMode="External"/><Relationship Id="rId49" Type="http://schemas.openxmlformats.org/officeDocument/2006/relationships/hyperlink" Target="https://sapwdsco.pharma.aventis.com:9100/nwa" TargetMode="External"/><Relationship Id="rId57" Type="http://schemas.openxmlformats.org/officeDocument/2006/relationships/hyperlink" Target="https://sapwdbei.pharma.aventis.com:9100/XMII" TargetMode="External"/><Relationship Id="rId10" Type="http://schemas.openxmlformats.org/officeDocument/2006/relationships/hyperlink" Target="https://sapwdsis.pharma.aventis.com:9100/XMII" TargetMode="External"/><Relationship Id="rId31" Type="http://schemas.openxmlformats.org/officeDocument/2006/relationships/hyperlink" Target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TargetMode="External"/><Relationship Id="rId44" Type="http://schemas.openxmlformats.org/officeDocument/2006/relationships/hyperlink" Target="https://sapsqojc.pasteur.sanofi.ind:9100/XMII" TargetMode="External"/><Relationship Id="rId52" Type="http://schemas.openxmlformats.org/officeDocument/2006/relationships/hyperlink" Target="https://sapwdcpv.pharma.aventis.com:9100/XMII" TargetMode="External"/><Relationship Id="rId60" Type="http://schemas.openxmlformats.org/officeDocument/2006/relationships/hyperlink" Target="https://sapwdcmp.pharma.aventis.com:9100/XMII" TargetMode="External"/><Relationship Id="rId65" Type="http://schemas.openxmlformats.org/officeDocument/2006/relationships/hyperlink" Target="https://sapwdcgn.pharma.aventis.com:9100/nwa" TargetMode="External"/><Relationship Id="rId4" Type="http://schemas.openxmlformats.org/officeDocument/2006/relationships/hyperlink" Target="https://sapwdvdr.pharma.aventis.com:9100/XMII" TargetMode="External"/><Relationship Id="rId9" Type="http://schemas.openxmlformats.org/officeDocument/2006/relationships/hyperlink" Target="https://sapwdsis.pharma.aventis.com:9100/nwa" TargetMode="External"/><Relationship Id="rId13" Type="http://schemas.openxmlformats.org/officeDocument/2006/relationships/hyperlink" Target="https://eur01.safelinks.protection.outlook.com/?url=https%3A%2F%2Fsapwdelb.pharma.aventis.com%3A9100%2FXMII&amp;data=04%7C01%7CJacques.Robert%40sanofi.com%7C7caea3bbed5c477afa2408d8c31d7e0e%7Caca3c8d6aa714e1aa10e03572fc58c0b%7C0%7C0%7C637473878877370279%7CUnknown%7CTWFpbGZsb3d8eyJWIjoiMC4wLjAwMDAiLCJQIjoiV2luMzIiLCJBTiI6Ik1haWwiLCJXVCI6Mn0%3D%7C1000&amp;sdata=hIXUtQtWZMwOOWYA0abjVsSW7OkFi92uz3vEfRexUuE%3D&amp;reserved=0" TargetMode="External"/><Relationship Id="rId18" Type="http://schemas.openxmlformats.org/officeDocument/2006/relationships/hyperlink" Target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TargetMode="External"/><Relationship Id="rId39" Type="http://schemas.openxmlformats.org/officeDocument/2006/relationships/hyperlink" Target="https://sapwdmaf.pharma.aventis.com:9100/nwa" TargetMode="External"/><Relationship Id="rId34" Type="http://schemas.openxmlformats.org/officeDocument/2006/relationships/hyperlink" Target="https://sapwdtou.pharma.aventis.com:9100/nwa" TargetMode="External"/><Relationship Id="rId50" Type="http://schemas.openxmlformats.org/officeDocument/2006/relationships/hyperlink" Target="https://sapwdluz.pharma.aventis.com:9100/XMII" TargetMode="External"/><Relationship Id="rId55" Type="http://schemas.openxmlformats.org/officeDocument/2006/relationships/hyperlink" Target="https://sapwdara.pharma.aventis.com:9100/nw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ur01.safelinks.protection.outlook.com/?url=https%3A%2F%2Fsanofi.atlassian.net%2Fwiki%2Fspaces%2FMII%2Fpages%2F63860443948%2FQuick%2Breference&amp;data=05%7C02%7CJacques.Robert%40sanofi.com%7C5cc0821a71584648a91c08dc853ac9fc%7Caca3c8d6aa714e1aa10e03572fc58c0b%7C0%7C0%7C638531734762552455%7CUnknown%7CTWFpbGZsb3d8eyJWIjoiMC4wLjAwMDAiLCJQIjoiV2luMzIiLCJBTiI6Ik1haWwiLCJXVCI6Mn0%3D%7C0%7C%7C%7C&amp;sdata=iJMWbRSEUuxVpXrxbD01ZfNcGpVdkg%2Favqk46Rb7evY%3D&amp;reserved=0" TargetMode="External"/><Relationship Id="rId1" Type="http://schemas.openxmlformats.org/officeDocument/2006/relationships/hyperlink" Target="https://eur01.safelinks.protection.outlook.com/?url=https%3A%2F%2Fsanofi.atlassian.net%2Fwiki%2Fspaces%2FMII%2Fpages%2F63826497277%2FSite%2Bleads%2Band%2Bproduction%2Btimes&amp;data=05%7C02%7CJacques.Robert%40sanofi.com%7C5cc0821a71584648a91c08dc853ac9fc%7Caca3c8d6aa714e1aa10e03572fc58c0b%7C0%7C0%7C638531734762535873%7CUnknown%7CTWFpbGZsb3d8eyJWIjoiMC4wLjAwMDAiLCJQIjoiV2luMzIiLCJBTiI6Ik1haWwiLCJXVCI6Mn0%3D%7C0%7C%7C%7C&amp;sdata=TyCfpypsqeRHL8j7xRD5chUYlN2MSIzXIU4kjHSSImg%3D&amp;reserved=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DF94-C100-4095-8899-0DCD4E17D729}">
  <dimension ref="A1:AN30"/>
  <sheetViews>
    <sheetView topLeftCell="C1" zoomScale="80" zoomScaleNormal="80" workbookViewId="0">
      <selection activeCell="U6" sqref="U6"/>
    </sheetView>
  </sheetViews>
  <sheetFormatPr baseColWidth="10" defaultColWidth="11.5" defaultRowHeight="15" x14ac:dyDescent="0.2"/>
  <cols>
    <col min="1" max="1" width="23.5" bestFit="1" customWidth="1"/>
    <col min="2" max="2" width="24.1640625" bestFit="1" customWidth="1"/>
    <col min="3" max="3" width="37.83203125" bestFit="1" customWidth="1"/>
    <col min="5" max="5" width="11.33203125" bestFit="1" customWidth="1"/>
    <col min="6" max="6" width="8.5" bestFit="1" customWidth="1"/>
    <col min="7" max="7" width="15" bestFit="1" customWidth="1"/>
    <col min="8" max="8" width="8.1640625" bestFit="1" customWidth="1"/>
    <col min="9" max="9" width="13" bestFit="1" customWidth="1"/>
    <col min="10" max="10" width="13.5" customWidth="1"/>
    <col min="11" max="11" width="20" bestFit="1" customWidth="1"/>
    <col min="12" max="12" width="13.1640625" bestFit="1" customWidth="1"/>
    <col min="13" max="13" width="6.5" bestFit="1" customWidth="1"/>
    <col min="14" max="14" width="8.1640625" bestFit="1" customWidth="1"/>
    <col min="15" max="15" width="8" bestFit="1" customWidth="1"/>
    <col min="16" max="16" width="9.33203125" bestFit="1" customWidth="1"/>
    <col min="18" max="18" width="18.83203125" bestFit="1" customWidth="1"/>
    <col min="19" max="19" width="33" bestFit="1" customWidth="1"/>
    <col min="20" max="20" width="12" bestFit="1" customWidth="1"/>
    <col min="21" max="21" width="9.1640625" style="238" bestFit="1" customWidth="1"/>
    <col min="22" max="22" width="14.5" customWidth="1"/>
    <col min="26" max="26" width="15.5" customWidth="1"/>
    <col min="30" max="31" width="13.83203125" customWidth="1"/>
    <col min="33" max="33" width="12.6640625" customWidth="1"/>
    <col min="34" max="35" width="13.33203125" customWidth="1"/>
    <col min="36" max="36" width="16.5" customWidth="1"/>
  </cols>
  <sheetData>
    <row r="1" spans="1:40" ht="17" thickBot="1" x14ac:dyDescent="0.25">
      <c r="A1" s="366" t="s">
        <v>214</v>
      </c>
      <c r="B1" s="366"/>
      <c r="C1" s="366"/>
      <c r="D1" s="366"/>
      <c r="E1" s="366"/>
      <c r="F1" s="366"/>
      <c r="G1" s="366"/>
      <c r="H1" s="366"/>
      <c r="I1" s="367" t="s">
        <v>215</v>
      </c>
      <c r="J1" s="368"/>
      <c r="K1" s="369"/>
      <c r="L1" s="370" t="s">
        <v>216</v>
      </c>
      <c r="M1" s="370"/>
      <c r="N1" s="370"/>
      <c r="O1" s="370"/>
      <c r="P1" s="370"/>
      <c r="Q1" s="370"/>
      <c r="R1" s="370"/>
      <c r="S1" s="370"/>
      <c r="T1" s="371" t="s">
        <v>217</v>
      </c>
      <c r="U1" s="371"/>
      <c r="V1" s="371"/>
      <c r="W1" s="371"/>
      <c r="X1" s="371"/>
      <c r="Y1" s="371"/>
      <c r="Z1" s="372" t="s">
        <v>218</v>
      </c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</row>
    <row r="2" spans="1:40" ht="17" thickBot="1" x14ac:dyDescent="0.25">
      <c r="A2" s="59"/>
      <c r="B2" s="59"/>
      <c r="C2" s="59"/>
      <c r="D2" s="59"/>
      <c r="E2" s="59"/>
      <c r="F2" s="59"/>
      <c r="G2" s="60"/>
      <c r="H2" s="59"/>
      <c r="I2" s="359" t="s">
        <v>82</v>
      </c>
      <c r="J2" s="359" t="s">
        <v>219</v>
      </c>
      <c r="K2" s="361" t="s">
        <v>220</v>
      </c>
      <c r="L2" s="363" t="s">
        <v>221</v>
      </c>
      <c r="M2" s="365" t="s">
        <v>222</v>
      </c>
      <c r="N2" s="365" t="s">
        <v>223</v>
      </c>
      <c r="O2" s="365" t="s">
        <v>224</v>
      </c>
      <c r="P2" s="365" t="s">
        <v>225</v>
      </c>
      <c r="Q2" s="365" t="s">
        <v>226</v>
      </c>
      <c r="R2" s="365" t="s">
        <v>227</v>
      </c>
      <c r="S2" s="365" t="s">
        <v>228</v>
      </c>
      <c r="T2" s="374" t="s">
        <v>229</v>
      </c>
      <c r="U2" s="374" t="s">
        <v>230</v>
      </c>
      <c r="V2" s="374" t="s">
        <v>231</v>
      </c>
      <c r="W2" s="374" t="s">
        <v>45</v>
      </c>
      <c r="X2" s="374" t="s">
        <v>232</v>
      </c>
      <c r="Y2" s="374" t="s">
        <v>233</v>
      </c>
      <c r="Z2" s="373" t="s">
        <v>234</v>
      </c>
      <c r="AA2" s="373" t="s">
        <v>235</v>
      </c>
      <c r="AB2" s="373" t="s">
        <v>236</v>
      </c>
      <c r="AC2" s="373" t="s">
        <v>237</v>
      </c>
      <c r="AD2" s="373" t="s">
        <v>238</v>
      </c>
      <c r="AE2" s="373" t="s">
        <v>239</v>
      </c>
      <c r="AF2" s="373" t="s">
        <v>240</v>
      </c>
      <c r="AG2" s="373"/>
      <c r="AH2" s="373"/>
      <c r="AI2" s="373"/>
      <c r="AJ2" s="373"/>
      <c r="AK2" s="373" t="s">
        <v>241</v>
      </c>
      <c r="AL2" s="373" t="s">
        <v>242</v>
      </c>
      <c r="AM2" s="373" t="s">
        <v>243</v>
      </c>
      <c r="AN2" s="373" t="s">
        <v>244</v>
      </c>
    </row>
    <row r="3" spans="1:40" ht="39" thickBot="1" x14ac:dyDescent="0.25">
      <c r="A3" s="61" t="s">
        <v>245</v>
      </c>
      <c r="B3" s="61" t="s">
        <v>246</v>
      </c>
      <c r="C3" s="61" t="s">
        <v>247</v>
      </c>
      <c r="D3" s="61" t="s">
        <v>248</v>
      </c>
      <c r="E3" s="61" t="s">
        <v>249</v>
      </c>
      <c r="F3" s="61" t="s">
        <v>250</v>
      </c>
      <c r="G3" s="62" t="s">
        <v>251</v>
      </c>
      <c r="H3" s="61" t="s">
        <v>252</v>
      </c>
      <c r="I3" s="360"/>
      <c r="J3" s="360"/>
      <c r="K3" s="362"/>
      <c r="L3" s="364"/>
      <c r="M3" s="365"/>
      <c r="N3" s="365"/>
      <c r="O3" s="365"/>
      <c r="P3" s="365"/>
      <c r="Q3" s="365"/>
      <c r="R3" s="365"/>
      <c r="S3" s="365"/>
      <c r="T3" s="374"/>
      <c r="U3" s="374"/>
      <c r="V3" s="374"/>
      <c r="W3" s="374"/>
      <c r="X3" s="374"/>
      <c r="Y3" s="374"/>
      <c r="Z3" s="373"/>
      <c r="AA3" s="373"/>
      <c r="AB3" s="373"/>
      <c r="AC3" s="373"/>
      <c r="AD3" s="373"/>
      <c r="AE3" s="373"/>
      <c r="AF3" s="63" t="s">
        <v>253</v>
      </c>
      <c r="AG3" s="63" t="s">
        <v>254</v>
      </c>
      <c r="AH3" s="63" t="s">
        <v>255</v>
      </c>
      <c r="AI3" s="63" t="s">
        <v>256</v>
      </c>
      <c r="AJ3" s="63" t="s">
        <v>257</v>
      </c>
      <c r="AK3" s="373"/>
      <c r="AL3" s="373"/>
      <c r="AM3" s="373"/>
      <c r="AN3" s="373"/>
    </row>
    <row r="4" spans="1:40" s="73" customFormat="1" x14ac:dyDescent="0.2">
      <c r="A4" s="64" t="s">
        <v>258</v>
      </c>
      <c r="B4" s="65" t="s">
        <v>259</v>
      </c>
      <c r="C4" s="64" t="s">
        <v>975</v>
      </c>
      <c r="D4" s="66" t="s">
        <v>260</v>
      </c>
      <c r="E4" s="67" t="s">
        <v>261</v>
      </c>
      <c r="F4" s="66" t="s">
        <v>262</v>
      </c>
      <c r="G4" s="66" t="s">
        <v>263</v>
      </c>
      <c r="H4" s="66" t="s">
        <v>264</v>
      </c>
      <c r="I4" s="66" t="s">
        <v>265</v>
      </c>
      <c r="J4" s="66" t="s">
        <v>266</v>
      </c>
      <c r="K4" s="66" t="s">
        <v>21</v>
      </c>
      <c r="L4" s="66" t="s">
        <v>267</v>
      </c>
      <c r="M4" s="66" t="s">
        <v>268</v>
      </c>
      <c r="N4" s="68" t="s">
        <v>269</v>
      </c>
      <c r="O4" s="66"/>
      <c r="P4" s="69">
        <v>20</v>
      </c>
      <c r="Q4" s="70" t="str">
        <f>"HDB"&amp;P4</f>
        <v>HDB20</v>
      </c>
      <c r="R4" s="66" t="str">
        <f>"sap"&amp;LOWER(N4)&amp;M4</f>
        <v>sapdqhhdb</v>
      </c>
      <c r="S4" s="66" t="str">
        <f>R4&amp;".pharma.aventis.com"</f>
        <v>sapdqhhdb.pharma.aventis.com</v>
      </c>
      <c r="T4" s="66"/>
      <c r="U4" s="236" t="s">
        <v>645</v>
      </c>
      <c r="V4" s="70" t="s">
        <v>573</v>
      </c>
      <c r="W4" s="66">
        <v>8</v>
      </c>
      <c r="X4" s="66">
        <v>244</v>
      </c>
      <c r="Y4" s="66">
        <v>8219</v>
      </c>
      <c r="Z4" s="66" t="s">
        <v>271</v>
      </c>
      <c r="AA4" s="66" t="s">
        <v>272</v>
      </c>
      <c r="AB4" s="66"/>
      <c r="AC4" s="66"/>
      <c r="AD4" s="66" t="s">
        <v>273</v>
      </c>
      <c r="AE4" s="66" t="s">
        <v>274</v>
      </c>
      <c r="AF4" s="66" t="s">
        <v>275</v>
      </c>
      <c r="AG4" s="66"/>
      <c r="AH4" s="66"/>
      <c r="AI4" s="66"/>
      <c r="AJ4" s="71">
        <v>8</v>
      </c>
      <c r="AK4" s="66" t="s">
        <v>276</v>
      </c>
      <c r="AL4" s="66"/>
      <c r="AM4" s="72"/>
      <c r="AN4" s="72"/>
    </row>
    <row r="5" spans="1:40" s="73" customFormat="1" x14ac:dyDescent="0.2">
      <c r="A5" s="64" t="s">
        <v>258</v>
      </c>
      <c r="B5" s="65" t="s">
        <v>259</v>
      </c>
      <c r="C5" s="64" t="s">
        <v>975</v>
      </c>
      <c r="D5" s="66" t="s">
        <v>277</v>
      </c>
      <c r="E5" s="67" t="s">
        <v>261</v>
      </c>
      <c r="F5" s="66" t="s">
        <v>262</v>
      </c>
      <c r="G5" s="66" t="s">
        <v>263</v>
      </c>
      <c r="H5" s="66" t="s">
        <v>264</v>
      </c>
      <c r="I5" s="66" t="s">
        <v>278</v>
      </c>
      <c r="J5" s="66" t="s">
        <v>279</v>
      </c>
      <c r="K5" s="66" t="s">
        <v>21</v>
      </c>
      <c r="L5" s="66" t="s">
        <v>280</v>
      </c>
      <c r="M5" s="66" t="s">
        <v>281</v>
      </c>
      <c r="N5" s="68" t="s">
        <v>282</v>
      </c>
      <c r="O5" s="66"/>
      <c r="P5" s="70" t="s">
        <v>283</v>
      </c>
      <c r="Q5" s="70" t="s">
        <v>284</v>
      </c>
      <c r="R5" s="66" t="str">
        <f>"sap"&amp;LOWER(N5)&amp;M5</f>
        <v>sapdqojc</v>
      </c>
      <c r="S5" s="66" t="str">
        <f>R5&amp;".pharma.aventis.com"</f>
        <v>sapdqojc.pharma.aventis.com</v>
      </c>
      <c r="T5" s="66"/>
      <c r="U5" s="236" t="s">
        <v>645</v>
      </c>
      <c r="V5" s="74" t="s">
        <v>285</v>
      </c>
      <c r="W5" s="75">
        <v>4</v>
      </c>
      <c r="X5" s="75">
        <v>32</v>
      </c>
      <c r="Y5" s="75">
        <v>5535</v>
      </c>
      <c r="Z5" s="75"/>
      <c r="AA5" s="75"/>
      <c r="AB5" s="75"/>
      <c r="AC5" s="75"/>
      <c r="AD5" s="75"/>
      <c r="AE5" s="75"/>
      <c r="AF5" s="76" t="s">
        <v>286</v>
      </c>
      <c r="AG5" s="76" t="s">
        <v>287</v>
      </c>
      <c r="AH5" s="76" t="s">
        <v>286</v>
      </c>
      <c r="AI5" s="76"/>
      <c r="AJ5" s="75">
        <v>32</v>
      </c>
      <c r="AK5" s="76" t="s">
        <v>276</v>
      </c>
      <c r="AL5" s="76"/>
      <c r="AM5" s="72"/>
      <c r="AN5" s="72"/>
    </row>
    <row r="6" spans="1:40" s="73" customFormat="1" x14ac:dyDescent="0.2">
      <c r="A6" s="64" t="s">
        <v>258</v>
      </c>
      <c r="B6" s="65" t="s">
        <v>259</v>
      </c>
      <c r="C6" s="64" t="s">
        <v>975</v>
      </c>
      <c r="D6" s="66" t="s">
        <v>277</v>
      </c>
      <c r="E6" s="67" t="s">
        <v>261</v>
      </c>
      <c r="F6" s="66" t="s">
        <v>262</v>
      </c>
      <c r="G6" s="66" t="s">
        <v>263</v>
      </c>
      <c r="H6" s="66" t="s">
        <v>264</v>
      </c>
      <c r="I6" s="66" t="s">
        <v>288</v>
      </c>
      <c r="J6" s="66" t="s">
        <v>289</v>
      </c>
      <c r="K6" s="66" t="s">
        <v>21</v>
      </c>
      <c r="L6" s="66" t="s">
        <v>290</v>
      </c>
      <c r="M6" s="66" t="s">
        <v>291</v>
      </c>
      <c r="N6" s="68" t="s">
        <v>292</v>
      </c>
      <c r="O6" s="66"/>
      <c r="P6" s="70" t="s">
        <v>283</v>
      </c>
      <c r="Q6" s="70" t="s">
        <v>284</v>
      </c>
      <c r="R6" s="66" t="s">
        <v>293</v>
      </c>
      <c r="S6" s="66" t="s">
        <v>294</v>
      </c>
      <c r="T6" s="66"/>
      <c r="U6" s="236" t="s">
        <v>645</v>
      </c>
      <c r="V6" s="74" t="s">
        <v>285</v>
      </c>
      <c r="W6" s="75">
        <v>4</v>
      </c>
      <c r="X6" s="75">
        <v>32</v>
      </c>
      <c r="Y6" s="75">
        <v>5535</v>
      </c>
      <c r="Z6" s="75"/>
      <c r="AA6" s="75"/>
      <c r="AB6" s="75"/>
      <c r="AC6" s="75"/>
      <c r="AD6" s="75"/>
      <c r="AE6" s="75"/>
      <c r="AF6" s="76" t="s">
        <v>286</v>
      </c>
      <c r="AG6" s="76" t="s">
        <v>287</v>
      </c>
      <c r="AH6" s="76" t="s">
        <v>286</v>
      </c>
      <c r="AI6" s="76"/>
      <c r="AJ6" s="75">
        <v>32</v>
      </c>
      <c r="AK6" s="76" t="s">
        <v>276</v>
      </c>
      <c r="AL6" s="76"/>
      <c r="AM6" s="72"/>
      <c r="AN6" s="72"/>
    </row>
    <row r="7" spans="1:40" x14ac:dyDescent="0.2">
      <c r="A7" s="77" t="s">
        <v>258</v>
      </c>
      <c r="B7" s="78" t="s">
        <v>259</v>
      </c>
      <c r="C7" s="77" t="s">
        <v>975</v>
      </c>
      <c r="D7" s="79" t="s">
        <v>260</v>
      </c>
      <c r="E7" s="80" t="s">
        <v>261</v>
      </c>
      <c r="F7" s="79" t="s">
        <v>295</v>
      </c>
      <c r="G7" s="79" t="s">
        <v>296</v>
      </c>
      <c r="H7" s="79" t="s">
        <v>297</v>
      </c>
      <c r="I7" s="79" t="s">
        <v>298</v>
      </c>
      <c r="J7" s="79" t="s">
        <v>299</v>
      </c>
      <c r="K7" s="79" t="s">
        <v>300</v>
      </c>
      <c r="L7" s="79" t="s">
        <v>267</v>
      </c>
      <c r="M7" s="79" t="s">
        <v>268</v>
      </c>
      <c r="N7" s="81" t="s">
        <v>301</v>
      </c>
      <c r="O7" s="79"/>
      <c r="P7" s="82">
        <v>20</v>
      </c>
      <c r="Q7" s="83" t="str">
        <f>"HDB"&amp;P7</f>
        <v>HDB20</v>
      </c>
      <c r="R7" s="79" t="str">
        <f>"sap"&amp;LOWER(N7)&amp;M7</f>
        <v>sapaqhhdb</v>
      </c>
      <c r="S7" s="79" t="str">
        <f>R7&amp;".pharma.aventis.com"</f>
        <v>sapaqhhdb.pharma.aventis.com</v>
      </c>
      <c r="T7" s="79"/>
      <c r="U7" s="237" t="s">
        <v>645</v>
      </c>
      <c r="V7" s="83" t="s">
        <v>573</v>
      </c>
      <c r="W7" s="79">
        <v>8</v>
      </c>
      <c r="X7" s="79">
        <v>244</v>
      </c>
      <c r="Y7" s="79">
        <v>8219</v>
      </c>
      <c r="Z7" s="79" t="s">
        <v>271</v>
      </c>
      <c r="AA7" s="79" t="s">
        <v>272</v>
      </c>
      <c r="AB7" s="79"/>
      <c r="AC7" s="79"/>
      <c r="AD7" s="79" t="s">
        <v>273</v>
      </c>
      <c r="AE7" s="79" t="s">
        <v>274</v>
      </c>
      <c r="AF7" s="79" t="s">
        <v>275</v>
      </c>
      <c r="AG7" s="79"/>
      <c r="AH7" s="79"/>
      <c r="AI7" s="79"/>
      <c r="AJ7" s="84">
        <v>8</v>
      </c>
      <c r="AK7" s="79" t="s">
        <v>276</v>
      </c>
      <c r="AL7" s="79"/>
      <c r="AM7" s="85"/>
      <c r="AN7" s="85"/>
    </row>
    <row r="8" spans="1:40" x14ac:dyDescent="0.2">
      <c r="A8" s="77" t="s">
        <v>258</v>
      </c>
      <c r="B8" s="78" t="s">
        <v>259</v>
      </c>
      <c r="C8" s="77" t="s">
        <v>975</v>
      </c>
      <c r="D8" s="79" t="s">
        <v>277</v>
      </c>
      <c r="E8" s="80" t="s">
        <v>261</v>
      </c>
      <c r="F8" s="79" t="s">
        <v>295</v>
      </c>
      <c r="G8" s="79" t="s">
        <v>296</v>
      </c>
      <c r="H8" s="79" t="s">
        <v>297</v>
      </c>
      <c r="I8" s="79" t="s">
        <v>302</v>
      </c>
      <c r="J8" s="79" t="s">
        <v>303</v>
      </c>
      <c r="K8" s="79" t="s">
        <v>300</v>
      </c>
      <c r="L8" s="79" t="s">
        <v>280</v>
      </c>
      <c r="M8" s="79" t="s">
        <v>281</v>
      </c>
      <c r="N8" s="81" t="s">
        <v>304</v>
      </c>
      <c r="O8" s="79"/>
      <c r="P8" s="83" t="s">
        <v>283</v>
      </c>
      <c r="Q8" s="83" t="s">
        <v>284</v>
      </c>
      <c r="R8" s="79" t="str">
        <f>"sap"&amp;LOWER(N8)&amp;M8</f>
        <v>sapaqojc</v>
      </c>
      <c r="S8" s="79" t="str">
        <f>R8&amp;".pharma.aventis.com"</f>
        <v>sapaqojc.pharma.aventis.com</v>
      </c>
      <c r="T8" s="79"/>
      <c r="U8" s="237" t="s">
        <v>645</v>
      </c>
      <c r="V8" s="86" t="s">
        <v>285</v>
      </c>
      <c r="W8" s="87">
        <v>4</v>
      </c>
      <c r="X8" s="87">
        <v>32</v>
      </c>
      <c r="Y8" s="87">
        <v>5535</v>
      </c>
      <c r="Z8" s="87"/>
      <c r="AA8" s="87"/>
      <c r="AB8" s="87"/>
      <c r="AC8" s="87"/>
      <c r="AD8" s="87"/>
      <c r="AE8" s="87"/>
      <c r="AF8" s="79" t="s">
        <v>286</v>
      </c>
      <c r="AG8" s="79" t="s">
        <v>287</v>
      </c>
      <c r="AH8" s="79" t="s">
        <v>286</v>
      </c>
      <c r="AI8" s="88"/>
      <c r="AJ8" s="87">
        <v>32</v>
      </c>
      <c r="AK8" s="88" t="s">
        <v>276</v>
      </c>
      <c r="AL8" s="88"/>
      <c r="AM8" s="85"/>
      <c r="AN8" s="85"/>
    </row>
    <row r="9" spans="1:40" x14ac:dyDescent="0.2">
      <c r="A9" s="332" t="s">
        <v>258</v>
      </c>
      <c r="B9" s="332" t="s">
        <v>259</v>
      </c>
      <c r="C9" s="332" t="s">
        <v>975</v>
      </c>
      <c r="D9" s="333" t="s">
        <v>260</v>
      </c>
      <c r="E9" s="333" t="s">
        <v>261</v>
      </c>
      <c r="F9" s="333" t="s">
        <v>1011</v>
      </c>
      <c r="G9" s="333" t="s">
        <v>263</v>
      </c>
      <c r="H9" s="333" t="s">
        <v>264</v>
      </c>
      <c r="I9" s="333" t="s">
        <v>1019</v>
      </c>
      <c r="J9" s="333" t="s">
        <v>1020</v>
      </c>
      <c r="K9" s="333" t="s">
        <v>21</v>
      </c>
      <c r="L9" s="333" t="s">
        <v>267</v>
      </c>
      <c r="M9" s="333" t="s">
        <v>268</v>
      </c>
      <c r="N9" s="340" t="s">
        <v>1012</v>
      </c>
      <c r="O9" s="333"/>
      <c r="P9" s="334">
        <v>20</v>
      </c>
      <c r="Q9" s="333" t="str">
        <f>"HDB"&amp;P9</f>
        <v>HDB20</v>
      </c>
      <c r="R9" s="333" t="str">
        <f>"sap"&amp;LOWER(N9)&amp;M9</f>
        <v>sapd4nhdb</v>
      </c>
      <c r="S9" s="335" t="str">
        <f>R9&amp;".pharma.aventis.com"</f>
        <v>sapd4nhdb.pharma.aventis.com</v>
      </c>
      <c r="T9" s="335"/>
      <c r="U9" s="335" t="s">
        <v>1013</v>
      </c>
      <c r="V9" s="335" t="s">
        <v>1014</v>
      </c>
      <c r="W9" s="336">
        <v>8</v>
      </c>
      <c r="X9" s="336">
        <v>256</v>
      </c>
      <c r="Y9" s="337" t="s">
        <v>1015</v>
      </c>
      <c r="Z9" s="338" t="s">
        <v>271</v>
      </c>
      <c r="AA9" s="338" t="s">
        <v>272</v>
      </c>
      <c r="AB9" s="338"/>
      <c r="AC9" s="338"/>
      <c r="AD9" s="338" t="s">
        <v>273</v>
      </c>
      <c r="AE9" s="338"/>
      <c r="AF9" s="338" t="s">
        <v>275</v>
      </c>
      <c r="AG9" s="338"/>
      <c r="AH9" s="338"/>
      <c r="AI9" s="338"/>
      <c r="AJ9" s="336"/>
      <c r="AK9" s="338"/>
      <c r="AL9" s="338"/>
      <c r="AM9" s="339"/>
      <c r="AN9" s="339"/>
    </row>
    <row r="10" spans="1:40" x14ac:dyDescent="0.2">
      <c r="A10" s="332" t="s">
        <v>258</v>
      </c>
      <c r="B10" s="332" t="s">
        <v>259</v>
      </c>
      <c r="C10" s="332" t="s">
        <v>975</v>
      </c>
      <c r="D10" s="333" t="s">
        <v>277</v>
      </c>
      <c r="E10" s="333" t="s">
        <v>261</v>
      </c>
      <c r="F10" s="333" t="s">
        <v>1011</v>
      </c>
      <c r="G10" s="333" t="s">
        <v>263</v>
      </c>
      <c r="H10" s="333" t="s">
        <v>264</v>
      </c>
      <c r="I10" s="333" t="s">
        <v>1021</v>
      </c>
      <c r="J10" s="333" t="s">
        <v>1022</v>
      </c>
      <c r="K10" s="333" t="s">
        <v>21</v>
      </c>
      <c r="L10" s="333" t="s">
        <v>280</v>
      </c>
      <c r="M10" s="333" t="s">
        <v>281</v>
      </c>
      <c r="N10" s="340" t="s">
        <v>1016</v>
      </c>
      <c r="O10" s="333"/>
      <c r="P10" s="333" t="s">
        <v>283</v>
      </c>
      <c r="Q10" s="333" t="s">
        <v>284</v>
      </c>
      <c r="R10" s="333" t="str">
        <f>"sap"&amp;LOWER(N10)&amp;M10</f>
        <v>sapdqnjc</v>
      </c>
      <c r="S10" s="335" t="str">
        <f>R10&amp;".pharma.aventis.com"</f>
        <v>sapdqnjc.pharma.aventis.com</v>
      </c>
      <c r="T10" s="335"/>
      <c r="U10" s="335" t="s">
        <v>1013</v>
      </c>
      <c r="V10" s="335" t="s">
        <v>1017</v>
      </c>
      <c r="W10" s="336">
        <v>4</v>
      </c>
      <c r="X10" s="336">
        <v>32</v>
      </c>
      <c r="Y10" s="337" t="s">
        <v>1018</v>
      </c>
      <c r="Z10" s="338"/>
      <c r="AA10" s="338"/>
      <c r="AB10" s="338"/>
      <c r="AC10" s="338"/>
      <c r="AD10" s="338"/>
      <c r="AE10" s="338"/>
      <c r="AF10" s="338" t="s">
        <v>286</v>
      </c>
      <c r="AG10" s="338" t="s">
        <v>287</v>
      </c>
      <c r="AH10" s="338" t="s">
        <v>286</v>
      </c>
      <c r="AI10" s="338"/>
      <c r="AJ10" s="336"/>
      <c r="AK10" s="338"/>
      <c r="AL10" s="338"/>
      <c r="AM10" s="339"/>
      <c r="AN10" s="339"/>
    </row>
    <row r="11" spans="1:40" x14ac:dyDescent="0.2">
      <c r="A11" s="332" t="s">
        <v>258</v>
      </c>
      <c r="B11" s="332" t="s">
        <v>259</v>
      </c>
      <c r="C11" s="332" t="s">
        <v>975</v>
      </c>
      <c r="D11" s="333" t="s">
        <v>277</v>
      </c>
      <c r="E11" s="333" t="s">
        <v>261</v>
      </c>
      <c r="F11" s="333" t="s">
        <v>1011</v>
      </c>
      <c r="G11" s="333" t="s">
        <v>263</v>
      </c>
      <c r="H11" s="333" t="s">
        <v>264</v>
      </c>
      <c r="I11" s="333" t="s">
        <v>1024</v>
      </c>
      <c r="J11" s="333" t="s">
        <v>1025</v>
      </c>
      <c r="K11" s="333" t="s">
        <v>21</v>
      </c>
      <c r="L11" s="333" t="s">
        <v>290</v>
      </c>
      <c r="M11" s="333" t="s">
        <v>291</v>
      </c>
      <c r="N11" s="340" t="s">
        <v>1023</v>
      </c>
      <c r="O11" s="333"/>
      <c r="P11" s="333" t="s">
        <v>283</v>
      </c>
      <c r="Q11" s="333" t="s">
        <v>284</v>
      </c>
      <c r="R11" s="333" t="str">
        <f>"sap"&amp;LOWER(N11)&amp;M11</f>
        <v>sapnqndi</v>
      </c>
      <c r="S11" s="335" t="str">
        <f>R11&amp;".pharma.aventis.com"</f>
        <v>sapnqndi.pharma.aventis.com</v>
      </c>
      <c r="T11" s="335"/>
      <c r="U11" s="335" t="s">
        <v>1013</v>
      </c>
      <c r="V11" s="335" t="s">
        <v>1017</v>
      </c>
      <c r="W11" s="336">
        <v>4</v>
      </c>
      <c r="X11" s="336">
        <v>32</v>
      </c>
      <c r="Y11" s="337" t="s">
        <v>1018</v>
      </c>
      <c r="Z11" s="338"/>
      <c r="AA11" s="338"/>
      <c r="AB11" s="338"/>
      <c r="AC11" s="338"/>
      <c r="AD11" s="338"/>
      <c r="AE11" s="338"/>
      <c r="AF11" s="338" t="s">
        <v>286</v>
      </c>
      <c r="AG11" s="338" t="s">
        <v>287</v>
      </c>
      <c r="AH11" s="338" t="s">
        <v>286</v>
      </c>
      <c r="AI11" s="338"/>
      <c r="AJ11" s="336"/>
      <c r="AK11" s="338"/>
      <c r="AL11" s="338"/>
      <c r="AM11" s="339"/>
      <c r="AN11" s="339"/>
    </row>
    <row r="12" spans="1:40" ht="16" thickBot="1" x14ac:dyDescent="0.25"/>
    <row r="13" spans="1:40" ht="17" thickBot="1" x14ac:dyDescent="0.25">
      <c r="A13" s="366" t="s">
        <v>305</v>
      </c>
      <c r="B13" s="366"/>
      <c r="C13" s="366"/>
      <c r="D13" s="366"/>
      <c r="E13" s="366"/>
      <c r="F13" s="366"/>
      <c r="G13" s="366"/>
      <c r="H13" s="366"/>
      <c r="I13" s="367" t="s">
        <v>215</v>
      </c>
      <c r="J13" s="368"/>
      <c r="K13" s="369"/>
      <c r="L13" s="370" t="s">
        <v>216</v>
      </c>
      <c r="M13" s="370"/>
      <c r="N13" s="370"/>
      <c r="O13" s="370"/>
      <c r="P13" s="370"/>
      <c r="Q13" s="370"/>
      <c r="R13" s="370"/>
      <c r="S13" s="370"/>
      <c r="T13" s="371" t="s">
        <v>217</v>
      </c>
      <c r="U13" s="371"/>
      <c r="V13" s="371"/>
      <c r="W13" s="371"/>
      <c r="X13" s="371"/>
      <c r="Y13" s="371"/>
      <c r="Z13" s="372" t="s">
        <v>218</v>
      </c>
      <c r="AA13" s="372"/>
      <c r="AB13" s="372"/>
      <c r="AC13" s="372"/>
      <c r="AD13" s="372"/>
      <c r="AE13" s="372"/>
      <c r="AF13" s="372"/>
      <c r="AG13" s="372"/>
      <c r="AH13" s="372"/>
      <c r="AI13" s="372"/>
      <c r="AJ13" s="372"/>
      <c r="AK13" s="372"/>
      <c r="AL13" s="372"/>
      <c r="AM13" s="372"/>
      <c r="AN13" s="372"/>
    </row>
    <row r="14" spans="1:40" ht="16.5" customHeight="1" thickBot="1" x14ac:dyDescent="0.25">
      <c r="A14" s="59"/>
      <c r="B14" s="59"/>
      <c r="C14" s="59"/>
      <c r="D14" s="59"/>
      <c r="E14" s="59"/>
      <c r="F14" s="59"/>
      <c r="G14" s="60"/>
      <c r="H14" s="59"/>
      <c r="I14" s="359" t="s">
        <v>82</v>
      </c>
      <c r="J14" s="359" t="s">
        <v>219</v>
      </c>
      <c r="K14" s="361" t="s">
        <v>220</v>
      </c>
      <c r="L14" s="363" t="s">
        <v>221</v>
      </c>
      <c r="M14" s="375" t="s">
        <v>222</v>
      </c>
      <c r="N14" s="365" t="s">
        <v>223</v>
      </c>
      <c r="O14" s="365" t="s">
        <v>224</v>
      </c>
      <c r="P14" s="365" t="s">
        <v>225</v>
      </c>
      <c r="Q14" s="365" t="s">
        <v>226</v>
      </c>
      <c r="R14" s="365" t="s">
        <v>227</v>
      </c>
      <c r="S14" s="365" t="s">
        <v>228</v>
      </c>
      <c r="T14" s="374" t="s">
        <v>229</v>
      </c>
      <c r="U14" s="374" t="s">
        <v>230</v>
      </c>
      <c r="V14" s="374" t="s">
        <v>231</v>
      </c>
      <c r="W14" s="374" t="s">
        <v>45</v>
      </c>
      <c r="X14" s="374" t="s">
        <v>232</v>
      </c>
      <c r="Y14" s="374" t="s">
        <v>233</v>
      </c>
      <c r="Z14" s="373" t="s">
        <v>234</v>
      </c>
      <c r="AA14" s="373" t="s">
        <v>235</v>
      </c>
      <c r="AB14" s="373" t="s">
        <v>236</v>
      </c>
      <c r="AC14" s="373" t="s">
        <v>237</v>
      </c>
      <c r="AD14" s="373" t="s">
        <v>238</v>
      </c>
      <c r="AE14" s="373" t="s">
        <v>239</v>
      </c>
      <c r="AF14" s="373" t="s">
        <v>240</v>
      </c>
      <c r="AG14" s="373"/>
      <c r="AH14" s="373"/>
      <c r="AI14" s="373"/>
      <c r="AJ14" s="373"/>
      <c r="AK14" s="373" t="s">
        <v>241</v>
      </c>
      <c r="AL14" s="373" t="s">
        <v>242</v>
      </c>
      <c r="AM14" s="373" t="s">
        <v>243</v>
      </c>
      <c r="AN14" s="373" t="s">
        <v>244</v>
      </c>
    </row>
    <row r="15" spans="1:40" ht="39" thickBot="1" x14ac:dyDescent="0.25">
      <c r="A15" s="61" t="s">
        <v>245</v>
      </c>
      <c r="B15" s="61" t="s">
        <v>246</v>
      </c>
      <c r="C15" s="61" t="s">
        <v>247</v>
      </c>
      <c r="D15" s="61" t="s">
        <v>248</v>
      </c>
      <c r="E15" s="61" t="s">
        <v>249</v>
      </c>
      <c r="F15" s="61" t="s">
        <v>250</v>
      </c>
      <c r="G15" s="62" t="s">
        <v>251</v>
      </c>
      <c r="H15" s="61" t="s">
        <v>252</v>
      </c>
      <c r="I15" s="360"/>
      <c r="J15" s="360"/>
      <c r="K15" s="362"/>
      <c r="L15" s="364"/>
      <c r="M15" s="376"/>
      <c r="N15" s="365"/>
      <c r="O15" s="365"/>
      <c r="P15" s="365"/>
      <c r="Q15" s="365"/>
      <c r="R15" s="365"/>
      <c r="S15" s="365"/>
      <c r="T15" s="374"/>
      <c r="U15" s="374"/>
      <c r="V15" s="374"/>
      <c r="W15" s="374"/>
      <c r="X15" s="374"/>
      <c r="Y15" s="374"/>
      <c r="Z15" s="373"/>
      <c r="AA15" s="373"/>
      <c r="AB15" s="373"/>
      <c r="AC15" s="373"/>
      <c r="AD15" s="373"/>
      <c r="AE15" s="373"/>
      <c r="AF15" s="63" t="s">
        <v>253</v>
      </c>
      <c r="AG15" s="63" t="s">
        <v>254</v>
      </c>
      <c r="AH15" s="63" t="s">
        <v>255</v>
      </c>
      <c r="AI15" s="63" t="s">
        <v>256</v>
      </c>
      <c r="AJ15" s="63" t="s">
        <v>257</v>
      </c>
      <c r="AK15" s="373"/>
      <c r="AL15" s="373"/>
      <c r="AM15" s="373"/>
      <c r="AN15" s="373"/>
    </row>
    <row r="16" spans="1:40" s="73" customFormat="1" x14ac:dyDescent="0.2">
      <c r="A16" s="64" t="s">
        <v>306</v>
      </c>
      <c r="B16" s="65" t="s">
        <v>307</v>
      </c>
      <c r="C16" s="64" t="s">
        <v>975</v>
      </c>
      <c r="D16" s="66" t="s">
        <v>260</v>
      </c>
      <c r="E16" s="67" t="s">
        <v>261</v>
      </c>
      <c r="F16" s="66" t="s">
        <v>308</v>
      </c>
      <c r="G16" s="66" t="s">
        <v>309</v>
      </c>
      <c r="H16" s="66" t="s">
        <v>297</v>
      </c>
      <c r="I16" s="66" t="s">
        <v>310</v>
      </c>
      <c r="J16" s="66" t="s">
        <v>311</v>
      </c>
      <c r="K16" s="66" t="s">
        <v>300</v>
      </c>
      <c r="L16" s="66" t="s">
        <v>267</v>
      </c>
      <c r="M16" s="66" t="s">
        <v>268</v>
      </c>
      <c r="N16" s="68" t="s">
        <v>312</v>
      </c>
      <c r="O16" s="66"/>
      <c r="P16" s="69">
        <v>20</v>
      </c>
      <c r="Q16" s="70" t="str">
        <f>"HDB"&amp;P16</f>
        <v>HDB20</v>
      </c>
      <c r="R16" s="66" t="str">
        <f>"sap"&amp;LOWER(N16)&amp;M16</f>
        <v>sapcqhhdb</v>
      </c>
      <c r="S16" s="66" t="str">
        <f>R16&amp;".pharma.aventis.com"</f>
        <v>sapcqhhdb.pharma.aventis.com</v>
      </c>
      <c r="T16" s="66"/>
      <c r="U16" s="236" t="s">
        <v>645</v>
      </c>
      <c r="V16" s="70" t="s">
        <v>573</v>
      </c>
      <c r="W16" s="66">
        <v>8</v>
      </c>
      <c r="X16" s="66">
        <v>244</v>
      </c>
      <c r="Y16" s="66">
        <v>8219</v>
      </c>
      <c r="Z16" s="66" t="s">
        <v>271</v>
      </c>
      <c r="AA16" s="66" t="s">
        <v>272</v>
      </c>
      <c r="AB16" s="66"/>
      <c r="AC16" s="66"/>
      <c r="AD16" s="66" t="s">
        <v>273</v>
      </c>
      <c r="AE16" s="66" t="s">
        <v>274</v>
      </c>
      <c r="AF16" s="66" t="s">
        <v>275</v>
      </c>
      <c r="AG16" s="66"/>
      <c r="AH16" s="66"/>
      <c r="AI16" s="66"/>
      <c r="AJ16" s="66">
        <v>8</v>
      </c>
      <c r="AK16" s="66" t="s">
        <v>276</v>
      </c>
      <c r="AL16" s="66"/>
      <c r="AM16" s="72"/>
      <c r="AN16" s="72"/>
    </row>
    <row r="17" spans="1:40" s="73" customFormat="1" x14ac:dyDescent="0.2">
      <c r="A17" s="64" t="s">
        <v>306</v>
      </c>
      <c r="B17" s="65" t="s">
        <v>307</v>
      </c>
      <c r="C17" s="64" t="s">
        <v>975</v>
      </c>
      <c r="D17" s="66" t="s">
        <v>277</v>
      </c>
      <c r="E17" s="67" t="s">
        <v>261</v>
      </c>
      <c r="F17" s="66" t="s">
        <v>308</v>
      </c>
      <c r="G17" s="66" t="s">
        <v>309</v>
      </c>
      <c r="H17" s="66" t="s">
        <v>297</v>
      </c>
      <c r="I17" s="66" t="s">
        <v>314</v>
      </c>
      <c r="J17" s="66" t="s">
        <v>315</v>
      </c>
      <c r="K17" s="66" t="s">
        <v>300</v>
      </c>
      <c r="L17" s="66" t="s">
        <v>280</v>
      </c>
      <c r="M17" s="66" t="s">
        <v>281</v>
      </c>
      <c r="N17" s="68" t="s">
        <v>316</v>
      </c>
      <c r="O17" s="66"/>
      <c r="P17" s="70" t="s">
        <v>283</v>
      </c>
      <c r="Q17" s="70" t="s">
        <v>284</v>
      </c>
      <c r="R17" s="66" t="str">
        <f>"sap"&amp;LOWER(N17)&amp;M17</f>
        <v>sapcqojc</v>
      </c>
      <c r="S17" s="66" t="str">
        <f>R17&amp;".pharma.aventis.com"</f>
        <v>sapcqojc.pharma.aventis.com</v>
      </c>
      <c r="T17" s="66"/>
      <c r="U17" s="236" t="s">
        <v>645</v>
      </c>
      <c r="V17" s="74" t="s">
        <v>313</v>
      </c>
      <c r="W17" s="75">
        <v>8</v>
      </c>
      <c r="X17" s="75">
        <v>64</v>
      </c>
      <c r="Y17" s="75">
        <v>11269</v>
      </c>
      <c r="Z17" s="75"/>
      <c r="AA17" s="75"/>
      <c r="AB17" s="75"/>
      <c r="AC17" s="75"/>
      <c r="AD17" s="75"/>
      <c r="AE17" s="75"/>
      <c r="AF17" s="76" t="s">
        <v>286</v>
      </c>
      <c r="AG17" s="76" t="s">
        <v>287</v>
      </c>
      <c r="AH17" s="76" t="s">
        <v>286</v>
      </c>
      <c r="AI17" s="76"/>
      <c r="AJ17" s="75">
        <v>32</v>
      </c>
      <c r="AK17" s="76" t="s">
        <v>276</v>
      </c>
      <c r="AL17" s="76"/>
      <c r="AM17" s="72"/>
      <c r="AN17" s="72"/>
    </row>
    <row r="18" spans="1:40" x14ac:dyDescent="0.2">
      <c r="A18" s="169" t="s">
        <v>306</v>
      </c>
      <c r="B18" s="170" t="s">
        <v>307</v>
      </c>
      <c r="C18" s="169" t="s">
        <v>317</v>
      </c>
      <c r="D18" s="171" t="s">
        <v>260</v>
      </c>
      <c r="E18" s="172" t="s">
        <v>261</v>
      </c>
      <c r="F18" s="171" t="s">
        <v>318</v>
      </c>
      <c r="G18" s="171" t="s">
        <v>319</v>
      </c>
      <c r="H18" s="171" t="s">
        <v>264</v>
      </c>
      <c r="I18" s="171" t="s">
        <v>320</v>
      </c>
      <c r="J18" s="171" t="s">
        <v>321</v>
      </c>
      <c r="K18" s="171" t="s">
        <v>318</v>
      </c>
      <c r="L18" s="171" t="s">
        <v>267</v>
      </c>
      <c r="M18" s="171" t="s">
        <v>268</v>
      </c>
      <c r="N18" s="173" t="s">
        <v>322</v>
      </c>
      <c r="O18" s="171"/>
      <c r="P18" s="174">
        <v>20</v>
      </c>
      <c r="Q18" s="175" t="str">
        <f>"HDB"&amp;P18</f>
        <v>HDB20</v>
      </c>
      <c r="R18" s="171" t="str">
        <f>"sap"&amp;LOWER(N18)&amp;M18</f>
        <v>sappcfhdb</v>
      </c>
      <c r="S18" s="171" t="str">
        <f>R18&amp;".pharma.aventis.com"</f>
        <v>sappcfhdb.pharma.aventis.com</v>
      </c>
      <c r="T18" s="171"/>
      <c r="U18" s="239" t="s">
        <v>439</v>
      </c>
      <c r="V18" s="175" t="s">
        <v>270</v>
      </c>
      <c r="W18" s="171">
        <v>16</v>
      </c>
      <c r="X18" s="171">
        <v>128</v>
      </c>
      <c r="Y18" s="176">
        <v>22538</v>
      </c>
      <c r="Z18" s="171"/>
      <c r="AA18" s="171"/>
      <c r="AB18" s="171" t="s">
        <v>271</v>
      </c>
      <c r="AC18" s="171" t="s">
        <v>272</v>
      </c>
      <c r="AD18" s="171" t="s">
        <v>273</v>
      </c>
      <c r="AE18" s="171" t="s">
        <v>274</v>
      </c>
      <c r="AF18" s="171" t="s">
        <v>275</v>
      </c>
      <c r="AG18" s="171"/>
      <c r="AH18" s="171"/>
      <c r="AI18" s="171"/>
      <c r="AJ18" s="171">
        <v>8</v>
      </c>
      <c r="AK18" s="171" t="s">
        <v>276</v>
      </c>
      <c r="AL18" s="171"/>
      <c r="AM18" s="177"/>
      <c r="AN18" s="177"/>
    </row>
    <row r="19" spans="1:40" x14ac:dyDescent="0.2">
      <c r="A19" s="169" t="s">
        <v>306</v>
      </c>
      <c r="B19" s="170" t="s">
        <v>307</v>
      </c>
      <c r="C19" s="169" t="s">
        <v>317</v>
      </c>
      <c r="D19" s="171" t="s">
        <v>277</v>
      </c>
      <c r="E19" s="172" t="s">
        <v>261</v>
      </c>
      <c r="F19" s="171" t="s">
        <v>318</v>
      </c>
      <c r="G19" s="171" t="s">
        <v>319</v>
      </c>
      <c r="H19" s="171" t="s">
        <v>264</v>
      </c>
      <c r="I19" s="171" t="s">
        <v>323</v>
      </c>
      <c r="J19" s="171" t="s">
        <v>324</v>
      </c>
      <c r="K19" s="171" t="s">
        <v>318</v>
      </c>
      <c r="L19" s="171" t="s">
        <v>280</v>
      </c>
      <c r="M19" s="171" t="s">
        <v>281</v>
      </c>
      <c r="N19" s="173" t="s">
        <v>325</v>
      </c>
      <c r="O19" s="171"/>
      <c r="P19" s="175" t="s">
        <v>283</v>
      </c>
      <c r="Q19" s="175" t="s">
        <v>284</v>
      </c>
      <c r="R19" s="171" t="str">
        <f>"sap"&amp;LOWER(N19)&amp;M19</f>
        <v>sappqfjc</v>
      </c>
      <c r="S19" s="171" t="str">
        <f>R19&amp;".pharma.aventis.com"</f>
        <v>sappqfjc.pharma.aventis.com</v>
      </c>
      <c r="T19" s="171"/>
      <c r="U19" s="239" t="s">
        <v>439</v>
      </c>
      <c r="V19" s="178" t="s">
        <v>313</v>
      </c>
      <c r="W19" s="179">
        <v>8</v>
      </c>
      <c r="X19" s="179">
        <v>64</v>
      </c>
      <c r="Y19" s="176">
        <v>11.269</v>
      </c>
      <c r="Z19" s="179"/>
      <c r="AA19" s="179"/>
      <c r="AB19" s="179"/>
      <c r="AC19" s="179"/>
      <c r="AD19" s="179"/>
      <c r="AE19" s="179"/>
      <c r="AF19" s="180" t="s">
        <v>286</v>
      </c>
      <c r="AG19" s="180" t="s">
        <v>287</v>
      </c>
      <c r="AH19" s="180" t="s">
        <v>286</v>
      </c>
      <c r="AI19" s="180"/>
      <c r="AJ19" s="179">
        <v>32</v>
      </c>
      <c r="AK19" s="180" t="s">
        <v>276</v>
      </c>
      <c r="AL19" s="180"/>
      <c r="AM19" s="177"/>
      <c r="AN19" s="177"/>
    </row>
    <row r="20" spans="1:40" x14ac:dyDescent="0.2">
      <c r="A20" s="89" t="s">
        <v>306</v>
      </c>
      <c r="B20" s="90" t="s">
        <v>307</v>
      </c>
      <c r="C20" s="89" t="s">
        <v>974</v>
      </c>
      <c r="D20" s="91" t="s">
        <v>260</v>
      </c>
      <c r="E20" s="92" t="s">
        <v>261</v>
      </c>
      <c r="F20" s="91" t="s">
        <v>318</v>
      </c>
      <c r="G20" s="91" t="s">
        <v>309</v>
      </c>
      <c r="H20" s="91" t="s">
        <v>297</v>
      </c>
      <c r="I20" s="91" t="s">
        <v>326</v>
      </c>
      <c r="J20" s="91" t="s">
        <v>327</v>
      </c>
      <c r="K20" s="91" t="s">
        <v>318</v>
      </c>
      <c r="L20" s="91" t="s">
        <v>267</v>
      </c>
      <c r="M20" s="91" t="s">
        <v>268</v>
      </c>
      <c r="N20" s="93" t="s">
        <v>328</v>
      </c>
      <c r="O20" s="91"/>
      <c r="P20" s="94">
        <v>20</v>
      </c>
      <c r="Q20" s="95" t="str">
        <f>"HDB"&amp;P20</f>
        <v>HDB20</v>
      </c>
      <c r="R20" s="91" t="str">
        <f t="shared" ref="R20:R25" si="0">"sap"&amp;LOWER(N20)&amp;M20</f>
        <v>sapp4shdb</v>
      </c>
      <c r="S20" s="91" t="str">
        <f t="shared" ref="S20:S25" si="1">R20&amp;".pharma.aventis.com"</f>
        <v>sapp4shdb.pharma.aventis.com</v>
      </c>
      <c r="T20" s="91"/>
      <c r="U20" s="240" t="s">
        <v>645</v>
      </c>
      <c r="V20" s="95" t="s">
        <v>270</v>
      </c>
      <c r="W20" s="91">
        <v>16</v>
      </c>
      <c r="X20" s="91">
        <v>128</v>
      </c>
      <c r="Y20" s="96">
        <v>22538</v>
      </c>
      <c r="Z20" s="91"/>
      <c r="AA20" s="91"/>
      <c r="AB20" s="91" t="s">
        <v>329</v>
      </c>
      <c r="AC20" s="91" t="s">
        <v>330</v>
      </c>
      <c r="AD20" s="91" t="s">
        <v>273</v>
      </c>
      <c r="AE20" s="91" t="s">
        <v>331</v>
      </c>
      <c r="AF20" s="91" t="s">
        <v>275</v>
      </c>
      <c r="AG20" s="91"/>
      <c r="AH20" s="91"/>
      <c r="AI20" s="91"/>
      <c r="AJ20" s="91">
        <v>8</v>
      </c>
      <c r="AK20" s="91" t="s">
        <v>276</v>
      </c>
      <c r="AL20" s="91"/>
      <c r="AM20" s="97"/>
      <c r="AN20" s="97"/>
    </row>
    <row r="21" spans="1:40" x14ac:dyDescent="0.2">
      <c r="A21" s="89" t="s">
        <v>306</v>
      </c>
      <c r="B21" s="90" t="s">
        <v>307</v>
      </c>
      <c r="C21" s="89" t="s">
        <v>974</v>
      </c>
      <c r="D21" s="91" t="s">
        <v>277</v>
      </c>
      <c r="E21" s="92" t="s">
        <v>261</v>
      </c>
      <c r="F21" s="91" t="s">
        <v>318</v>
      </c>
      <c r="G21" s="91" t="s">
        <v>309</v>
      </c>
      <c r="H21" s="91" t="s">
        <v>297</v>
      </c>
      <c r="I21" s="91" t="s">
        <v>332</v>
      </c>
      <c r="J21" s="91" t="s">
        <v>333</v>
      </c>
      <c r="K21" s="91" t="s">
        <v>318</v>
      </c>
      <c r="L21" s="91" t="s">
        <v>280</v>
      </c>
      <c r="M21" s="91" t="s">
        <v>281</v>
      </c>
      <c r="N21" s="93" t="s">
        <v>334</v>
      </c>
      <c r="O21" s="91"/>
      <c r="P21" s="95" t="s">
        <v>283</v>
      </c>
      <c r="Q21" s="95" t="s">
        <v>284</v>
      </c>
      <c r="R21" s="91" t="str">
        <f t="shared" si="0"/>
        <v>sappfsjc</v>
      </c>
      <c r="S21" s="91" t="str">
        <f t="shared" si="1"/>
        <v>sappfsjc.pharma.aventis.com</v>
      </c>
      <c r="T21" s="91"/>
      <c r="U21" s="240" t="s">
        <v>645</v>
      </c>
      <c r="V21" s="98" t="s">
        <v>313</v>
      </c>
      <c r="W21" s="99">
        <v>8</v>
      </c>
      <c r="X21" s="99">
        <v>64</v>
      </c>
      <c r="Y21" s="96">
        <v>11.269</v>
      </c>
      <c r="Z21" s="99"/>
      <c r="AA21" s="99"/>
      <c r="AB21" s="99"/>
      <c r="AC21" s="99"/>
      <c r="AD21" s="99"/>
      <c r="AE21" s="99"/>
      <c r="AF21" s="100" t="s">
        <v>286</v>
      </c>
      <c r="AG21" s="100" t="s">
        <v>287</v>
      </c>
      <c r="AH21" s="100" t="s">
        <v>286</v>
      </c>
      <c r="AI21" s="100"/>
      <c r="AJ21" s="99">
        <v>32</v>
      </c>
      <c r="AK21" s="100" t="s">
        <v>276</v>
      </c>
      <c r="AL21" s="100"/>
      <c r="AM21" s="97"/>
      <c r="AN21" s="97"/>
    </row>
    <row r="22" spans="1:40" x14ac:dyDescent="0.2">
      <c r="A22" s="133" t="s">
        <v>306</v>
      </c>
      <c r="B22" s="143" t="s">
        <v>307</v>
      </c>
      <c r="C22" s="133" t="s">
        <v>974</v>
      </c>
      <c r="D22" s="144" t="s">
        <v>260</v>
      </c>
      <c r="E22" s="145" t="s">
        <v>261</v>
      </c>
      <c r="F22" s="144" t="s">
        <v>318</v>
      </c>
      <c r="G22" s="144" t="s">
        <v>319</v>
      </c>
      <c r="H22" s="144" t="s">
        <v>264</v>
      </c>
      <c r="I22" s="144" t="s">
        <v>563</v>
      </c>
      <c r="J22" s="144" t="s">
        <v>564</v>
      </c>
      <c r="K22" s="144" t="s">
        <v>318</v>
      </c>
      <c r="L22" s="144" t="s">
        <v>267</v>
      </c>
      <c r="M22" s="144" t="s">
        <v>268</v>
      </c>
      <c r="N22" s="146" t="s">
        <v>561</v>
      </c>
      <c r="O22" s="144"/>
      <c r="P22" s="147">
        <v>20</v>
      </c>
      <c r="Q22" s="148" t="str">
        <f>"HDB"&amp;P22</f>
        <v>HDB20</v>
      </c>
      <c r="R22" s="144" t="str">
        <f t="shared" si="0"/>
        <v>sapp4rhdb</v>
      </c>
      <c r="S22" s="144" t="str">
        <f t="shared" si="1"/>
        <v>sapp4rhdb.pharma.aventis.com</v>
      </c>
      <c r="T22" s="144"/>
      <c r="U22" s="241" t="s">
        <v>645</v>
      </c>
      <c r="V22" s="148" t="s">
        <v>270</v>
      </c>
      <c r="W22" s="144">
        <v>16</v>
      </c>
      <c r="X22" s="144">
        <v>128</v>
      </c>
      <c r="Y22" s="149">
        <v>22538</v>
      </c>
      <c r="Z22" s="144"/>
      <c r="AA22" s="144"/>
      <c r="AB22" s="144" t="s">
        <v>329</v>
      </c>
      <c r="AC22" s="144" t="s">
        <v>330</v>
      </c>
      <c r="AD22" s="144" t="s">
        <v>273</v>
      </c>
      <c r="AE22" s="144" t="s">
        <v>331</v>
      </c>
      <c r="AF22" s="144" t="s">
        <v>275</v>
      </c>
      <c r="AG22" s="144"/>
      <c r="AH22" s="144"/>
      <c r="AI22" s="144"/>
      <c r="AJ22" s="144">
        <v>8</v>
      </c>
      <c r="AK22" s="144" t="s">
        <v>276</v>
      </c>
      <c r="AL22" s="144"/>
      <c r="AM22" s="150"/>
      <c r="AN22" s="150"/>
    </row>
    <row r="23" spans="1:40" x14ac:dyDescent="0.2">
      <c r="A23" s="133" t="s">
        <v>306</v>
      </c>
      <c r="B23" s="143" t="s">
        <v>307</v>
      </c>
      <c r="C23" s="133" t="s">
        <v>974</v>
      </c>
      <c r="D23" s="144" t="s">
        <v>277</v>
      </c>
      <c r="E23" s="145" t="s">
        <v>261</v>
      </c>
      <c r="F23" s="144" t="s">
        <v>318</v>
      </c>
      <c r="G23" s="144" t="s">
        <v>319</v>
      </c>
      <c r="H23" s="144" t="s">
        <v>264</v>
      </c>
      <c r="I23" s="144" t="s">
        <v>565</v>
      </c>
      <c r="J23" s="144" t="s">
        <v>566</v>
      </c>
      <c r="K23" s="144" t="s">
        <v>318</v>
      </c>
      <c r="L23" s="144" t="s">
        <v>280</v>
      </c>
      <c r="M23" s="144" t="s">
        <v>281</v>
      </c>
      <c r="N23" s="146" t="s">
        <v>562</v>
      </c>
      <c r="O23" s="144"/>
      <c r="P23" s="148" t="s">
        <v>283</v>
      </c>
      <c r="Q23" s="148" t="s">
        <v>284</v>
      </c>
      <c r="R23" s="144" t="str">
        <f t="shared" si="0"/>
        <v>sappfrjc</v>
      </c>
      <c r="S23" s="144" t="str">
        <f t="shared" si="1"/>
        <v>sappfrjc.pharma.aventis.com</v>
      </c>
      <c r="T23" s="144"/>
      <c r="U23" s="241" t="s">
        <v>645</v>
      </c>
      <c r="V23" s="151" t="s">
        <v>313</v>
      </c>
      <c r="W23" s="152">
        <v>8</v>
      </c>
      <c r="X23" s="152">
        <v>64</v>
      </c>
      <c r="Y23" s="149">
        <v>11269</v>
      </c>
      <c r="Z23" s="152"/>
      <c r="AA23" s="152"/>
      <c r="AB23" s="152"/>
      <c r="AC23" s="152"/>
      <c r="AD23" s="152"/>
      <c r="AE23" s="152"/>
      <c r="AF23" s="153" t="s">
        <v>286</v>
      </c>
      <c r="AG23" s="153" t="s">
        <v>287</v>
      </c>
      <c r="AH23" s="153" t="s">
        <v>286</v>
      </c>
      <c r="AI23" s="153"/>
      <c r="AJ23" s="152">
        <v>32</v>
      </c>
      <c r="AK23" s="153" t="s">
        <v>276</v>
      </c>
      <c r="AL23" s="153"/>
      <c r="AM23" s="150"/>
      <c r="AN23" s="150"/>
    </row>
    <row r="24" spans="1:40" x14ac:dyDescent="0.2">
      <c r="A24" s="136" t="s">
        <v>306</v>
      </c>
      <c r="B24" s="137" t="s">
        <v>307</v>
      </c>
      <c r="C24" s="136" t="s">
        <v>974</v>
      </c>
      <c r="D24" s="138" t="s">
        <v>260</v>
      </c>
      <c r="E24" s="139" t="s">
        <v>261</v>
      </c>
      <c r="F24" s="138" t="s">
        <v>318</v>
      </c>
      <c r="G24" s="138" t="s">
        <v>309</v>
      </c>
      <c r="H24" s="138" t="s">
        <v>297</v>
      </c>
      <c r="I24" s="138" t="s">
        <v>567</v>
      </c>
      <c r="J24" s="138" t="s">
        <v>568</v>
      </c>
      <c r="K24" s="138" t="s">
        <v>318</v>
      </c>
      <c r="L24" s="138" t="s">
        <v>267</v>
      </c>
      <c r="M24" s="138" t="s">
        <v>268</v>
      </c>
      <c r="N24" s="140" t="s">
        <v>559</v>
      </c>
      <c r="O24" s="138"/>
      <c r="P24" s="141">
        <v>20</v>
      </c>
      <c r="Q24" s="142" t="str">
        <f>"HDB"&amp;P24</f>
        <v>HDB20</v>
      </c>
      <c r="R24" s="138" t="str">
        <f t="shared" si="0"/>
        <v>sapp4vhdb</v>
      </c>
      <c r="S24" s="138" t="str">
        <f t="shared" si="1"/>
        <v>sapp4vhdb.pharma.aventis.com</v>
      </c>
      <c r="T24" s="138"/>
      <c r="U24" s="242" t="s">
        <v>645</v>
      </c>
      <c r="V24" s="142" t="s">
        <v>573</v>
      </c>
      <c r="W24" s="138">
        <v>8</v>
      </c>
      <c r="X24" s="138">
        <v>244</v>
      </c>
      <c r="Y24" s="154">
        <v>8219</v>
      </c>
      <c r="Z24" s="138"/>
      <c r="AA24" s="138"/>
      <c r="AB24" s="138" t="s">
        <v>329</v>
      </c>
      <c r="AC24" s="138" t="s">
        <v>330</v>
      </c>
      <c r="AD24" s="138" t="s">
        <v>273</v>
      </c>
      <c r="AE24" s="138" t="s">
        <v>331</v>
      </c>
      <c r="AF24" s="138" t="s">
        <v>275</v>
      </c>
      <c r="AG24" s="138"/>
      <c r="AH24" s="138"/>
      <c r="AI24" s="138"/>
      <c r="AJ24" s="138">
        <v>8</v>
      </c>
      <c r="AK24" s="138" t="s">
        <v>276</v>
      </c>
      <c r="AL24" s="138"/>
      <c r="AM24" s="155"/>
      <c r="AN24" s="155"/>
    </row>
    <row r="25" spans="1:40" x14ac:dyDescent="0.2">
      <c r="A25" s="136" t="s">
        <v>306</v>
      </c>
      <c r="B25" s="137" t="s">
        <v>307</v>
      </c>
      <c r="C25" s="136" t="s">
        <v>974</v>
      </c>
      <c r="D25" s="138" t="s">
        <v>277</v>
      </c>
      <c r="E25" s="139" t="s">
        <v>261</v>
      </c>
      <c r="F25" s="138" t="s">
        <v>318</v>
      </c>
      <c r="G25" s="138" t="s">
        <v>309</v>
      </c>
      <c r="H25" s="138" t="s">
        <v>297</v>
      </c>
      <c r="I25" s="138" t="s">
        <v>569</v>
      </c>
      <c r="J25" s="138" t="s">
        <v>570</v>
      </c>
      <c r="K25" s="138" t="s">
        <v>318</v>
      </c>
      <c r="L25" s="138" t="s">
        <v>280</v>
      </c>
      <c r="M25" s="138" t="s">
        <v>281</v>
      </c>
      <c r="N25" s="140" t="s">
        <v>560</v>
      </c>
      <c r="O25" s="138"/>
      <c r="P25" s="142" t="s">
        <v>283</v>
      </c>
      <c r="Q25" s="142" t="s">
        <v>284</v>
      </c>
      <c r="R25" s="138" t="str">
        <f t="shared" si="0"/>
        <v>sappfvjc</v>
      </c>
      <c r="S25" s="138" t="str">
        <f t="shared" si="1"/>
        <v>sappfvjc.pharma.aventis.com</v>
      </c>
      <c r="T25" s="138"/>
      <c r="U25" s="242" t="s">
        <v>645</v>
      </c>
      <c r="V25" s="156" t="s">
        <v>313</v>
      </c>
      <c r="W25" s="157">
        <v>8</v>
      </c>
      <c r="X25" s="157">
        <v>64</v>
      </c>
      <c r="Y25" s="154">
        <v>11269</v>
      </c>
      <c r="Z25" s="157"/>
      <c r="AA25" s="157"/>
      <c r="AB25" s="157"/>
      <c r="AC25" s="157"/>
      <c r="AD25" s="157"/>
      <c r="AE25" s="157"/>
      <c r="AF25" s="158" t="s">
        <v>286</v>
      </c>
      <c r="AG25" s="158" t="s">
        <v>287</v>
      </c>
      <c r="AH25" s="158" t="s">
        <v>286</v>
      </c>
      <c r="AI25" s="158"/>
      <c r="AJ25" s="157">
        <v>32</v>
      </c>
      <c r="AK25" s="158" t="s">
        <v>276</v>
      </c>
      <c r="AL25" s="158"/>
      <c r="AM25" s="155"/>
      <c r="AN25" s="155"/>
    </row>
    <row r="26" spans="1:40" x14ac:dyDescent="0.2">
      <c r="A26" s="271" t="s">
        <v>306</v>
      </c>
      <c r="B26" s="272" t="s">
        <v>307</v>
      </c>
      <c r="C26" s="271" t="s">
        <v>974</v>
      </c>
      <c r="D26" s="273" t="s">
        <v>260</v>
      </c>
      <c r="E26" s="274" t="s">
        <v>261</v>
      </c>
      <c r="F26" s="273" t="s">
        <v>318</v>
      </c>
      <c r="G26" s="273" t="s">
        <v>319</v>
      </c>
      <c r="H26" s="273" t="s">
        <v>264</v>
      </c>
      <c r="I26" s="273" t="s">
        <v>969</v>
      </c>
      <c r="J26" s="273" t="s">
        <v>972</v>
      </c>
      <c r="K26" s="273" t="s">
        <v>318</v>
      </c>
      <c r="L26" s="273" t="s">
        <v>267</v>
      </c>
      <c r="M26" s="273" t="s">
        <v>268</v>
      </c>
      <c r="N26" s="275" t="s">
        <v>973</v>
      </c>
      <c r="O26" s="273"/>
      <c r="P26" s="276">
        <v>20</v>
      </c>
      <c r="Q26" s="277" t="str">
        <f>"HDB"&amp;P26</f>
        <v>HDB20</v>
      </c>
      <c r="R26" s="273" t="str">
        <f t="shared" ref="R26:R29" si="2">"sap"&amp;LOWER(N26)&amp;M26</f>
        <v>sapdrphdb</v>
      </c>
      <c r="S26" s="273" t="str">
        <f t="shared" ref="S26:S29" si="3">R26&amp;".pharma.aventis.com"</f>
        <v>sapdrphdb.pharma.aventis.com</v>
      </c>
      <c r="T26" s="273"/>
      <c r="U26" s="278" t="s">
        <v>645</v>
      </c>
      <c r="V26" s="277" t="s">
        <v>270</v>
      </c>
      <c r="W26" s="273">
        <v>16</v>
      </c>
      <c r="X26" s="273">
        <v>128</v>
      </c>
      <c r="Y26" s="279">
        <v>22538</v>
      </c>
      <c r="Z26" s="273"/>
      <c r="AA26" s="273"/>
      <c r="AB26" s="273" t="s">
        <v>329</v>
      </c>
      <c r="AC26" s="273" t="s">
        <v>330</v>
      </c>
      <c r="AD26" s="273" t="s">
        <v>273</v>
      </c>
      <c r="AE26" s="273" t="s">
        <v>331</v>
      </c>
      <c r="AF26" s="273" t="s">
        <v>275</v>
      </c>
      <c r="AG26" s="273"/>
      <c r="AH26" s="273"/>
      <c r="AI26" s="273"/>
      <c r="AJ26" s="273">
        <v>8</v>
      </c>
      <c r="AK26" s="273" t="s">
        <v>276</v>
      </c>
      <c r="AL26" s="273"/>
      <c r="AM26" s="280"/>
      <c r="AN26" s="280"/>
    </row>
    <row r="27" spans="1:40" x14ac:dyDescent="0.2">
      <c r="A27" s="271" t="s">
        <v>306</v>
      </c>
      <c r="B27" s="272" t="s">
        <v>307</v>
      </c>
      <c r="C27" s="271" t="s">
        <v>974</v>
      </c>
      <c r="D27" s="273" t="s">
        <v>277</v>
      </c>
      <c r="E27" s="274" t="s">
        <v>261</v>
      </c>
      <c r="F27" s="273" t="s">
        <v>318</v>
      </c>
      <c r="G27" s="273" t="s">
        <v>319</v>
      </c>
      <c r="H27" s="273" t="s">
        <v>264</v>
      </c>
      <c r="I27" s="273" t="s">
        <v>970</v>
      </c>
      <c r="J27" s="273" t="s">
        <v>971</v>
      </c>
      <c r="K27" s="273" t="s">
        <v>318</v>
      </c>
      <c r="L27" s="273" t="s">
        <v>280</v>
      </c>
      <c r="M27" s="273" t="s">
        <v>281</v>
      </c>
      <c r="N27" s="275" t="s">
        <v>973</v>
      </c>
      <c r="O27" s="273"/>
      <c r="P27" s="277" t="s">
        <v>283</v>
      </c>
      <c r="Q27" s="277" t="s">
        <v>284</v>
      </c>
      <c r="R27" s="273" t="str">
        <f t="shared" si="2"/>
        <v>sapdrpjc</v>
      </c>
      <c r="S27" s="273" t="str">
        <f t="shared" si="3"/>
        <v>sapdrpjc.pharma.aventis.com</v>
      </c>
      <c r="T27" s="273"/>
      <c r="U27" s="278" t="s">
        <v>645</v>
      </c>
      <c r="V27" s="281" t="s">
        <v>313</v>
      </c>
      <c r="W27" s="282">
        <v>8</v>
      </c>
      <c r="X27" s="282">
        <v>64</v>
      </c>
      <c r="Y27" s="279">
        <v>11269</v>
      </c>
      <c r="Z27" s="282"/>
      <c r="AA27" s="282"/>
      <c r="AB27" s="282"/>
      <c r="AC27" s="282"/>
      <c r="AD27" s="282"/>
      <c r="AE27" s="282"/>
      <c r="AF27" s="283" t="s">
        <v>286</v>
      </c>
      <c r="AG27" s="283" t="s">
        <v>287</v>
      </c>
      <c r="AH27" s="283" t="s">
        <v>286</v>
      </c>
      <c r="AI27" s="283"/>
      <c r="AJ27" s="282">
        <v>32</v>
      </c>
      <c r="AK27" s="283" t="s">
        <v>276</v>
      </c>
      <c r="AL27" s="283"/>
      <c r="AM27" s="280"/>
      <c r="AN27" s="280"/>
    </row>
    <row r="28" spans="1:40" s="328" customFormat="1" x14ac:dyDescent="0.2">
      <c r="A28" s="318" t="s">
        <v>306</v>
      </c>
      <c r="B28" s="319" t="s">
        <v>307</v>
      </c>
      <c r="C28" s="318" t="s">
        <v>974</v>
      </c>
      <c r="D28" s="320" t="s">
        <v>260</v>
      </c>
      <c r="E28" s="321" t="s">
        <v>261</v>
      </c>
      <c r="F28" s="320" t="s">
        <v>318</v>
      </c>
      <c r="G28" s="320" t="s">
        <v>319</v>
      </c>
      <c r="H28" s="320" t="s">
        <v>264</v>
      </c>
      <c r="I28" s="320" t="s">
        <v>969</v>
      </c>
      <c r="J28" s="320" t="s">
        <v>972</v>
      </c>
      <c r="K28" s="320" t="s">
        <v>318</v>
      </c>
      <c r="L28" s="320" t="s">
        <v>267</v>
      </c>
      <c r="M28" s="320" t="s">
        <v>268</v>
      </c>
      <c r="N28" s="322" t="s">
        <v>973</v>
      </c>
      <c r="O28" s="320"/>
      <c r="P28" s="323">
        <v>20</v>
      </c>
      <c r="Q28" s="324" t="str">
        <f>"HDB"&amp;P28</f>
        <v>HDB20</v>
      </c>
      <c r="R28" s="320" t="str">
        <f t="shared" si="2"/>
        <v>sapdrphdb</v>
      </c>
      <c r="S28" s="320" t="str">
        <f t="shared" si="3"/>
        <v>sapdrphdb.pharma.aventis.com</v>
      </c>
      <c r="T28" s="320"/>
      <c r="U28" s="325" t="s">
        <v>645</v>
      </c>
      <c r="V28" s="324" t="s">
        <v>270</v>
      </c>
      <c r="W28" s="320">
        <v>16</v>
      </c>
      <c r="X28" s="320">
        <v>128</v>
      </c>
      <c r="Y28" s="326">
        <v>22538</v>
      </c>
      <c r="Z28" s="320"/>
      <c r="AA28" s="320"/>
      <c r="AB28" s="320" t="s">
        <v>329</v>
      </c>
      <c r="AC28" s="320" t="s">
        <v>330</v>
      </c>
      <c r="AD28" s="320" t="s">
        <v>273</v>
      </c>
      <c r="AE28" s="320" t="s">
        <v>331</v>
      </c>
      <c r="AF28" s="320" t="s">
        <v>275</v>
      </c>
      <c r="AG28" s="320"/>
      <c r="AH28" s="320"/>
      <c r="AI28" s="320"/>
      <c r="AJ28" s="320">
        <v>8</v>
      </c>
      <c r="AK28" s="320" t="s">
        <v>276</v>
      </c>
      <c r="AL28" s="320"/>
      <c r="AM28" s="327"/>
      <c r="AN28" s="327"/>
    </row>
    <row r="29" spans="1:40" s="328" customFormat="1" x14ac:dyDescent="0.2">
      <c r="A29" s="318" t="s">
        <v>306</v>
      </c>
      <c r="B29" s="319" t="s">
        <v>307</v>
      </c>
      <c r="C29" s="318" t="s">
        <v>974</v>
      </c>
      <c r="D29" s="320" t="s">
        <v>277</v>
      </c>
      <c r="E29" s="321" t="s">
        <v>261</v>
      </c>
      <c r="F29" s="320" t="s">
        <v>318</v>
      </c>
      <c r="G29" s="320" t="s">
        <v>319</v>
      </c>
      <c r="H29" s="320" t="s">
        <v>264</v>
      </c>
      <c r="I29" s="320" t="s">
        <v>970</v>
      </c>
      <c r="J29" s="320" t="s">
        <v>971</v>
      </c>
      <c r="K29" s="320" t="s">
        <v>318</v>
      </c>
      <c r="L29" s="320" t="s">
        <v>280</v>
      </c>
      <c r="M29" s="320" t="s">
        <v>281</v>
      </c>
      <c r="N29" s="322" t="s">
        <v>973</v>
      </c>
      <c r="O29" s="320"/>
      <c r="P29" s="324" t="s">
        <v>283</v>
      </c>
      <c r="Q29" s="324" t="s">
        <v>284</v>
      </c>
      <c r="R29" s="320" t="str">
        <f t="shared" si="2"/>
        <v>sapdrpjc</v>
      </c>
      <c r="S29" s="320" t="str">
        <f t="shared" si="3"/>
        <v>sapdrpjc.pharma.aventis.com</v>
      </c>
      <c r="T29" s="320"/>
      <c r="U29" s="325" t="s">
        <v>645</v>
      </c>
      <c r="V29" s="329" t="s">
        <v>313</v>
      </c>
      <c r="W29" s="330">
        <v>8</v>
      </c>
      <c r="X29" s="330">
        <v>64</v>
      </c>
      <c r="Y29" s="326">
        <v>11269</v>
      </c>
      <c r="Z29" s="330"/>
      <c r="AA29" s="330"/>
      <c r="AB29" s="330"/>
      <c r="AC29" s="330"/>
      <c r="AD29" s="330"/>
      <c r="AE29" s="330"/>
      <c r="AF29" s="331" t="s">
        <v>286</v>
      </c>
      <c r="AG29" s="331" t="s">
        <v>287</v>
      </c>
      <c r="AH29" s="331" t="s">
        <v>286</v>
      </c>
      <c r="AI29" s="331"/>
      <c r="AJ29" s="330">
        <v>32</v>
      </c>
      <c r="AK29" s="331" t="s">
        <v>276</v>
      </c>
      <c r="AL29" s="331"/>
      <c r="AM29" s="327"/>
      <c r="AN29" s="327"/>
    </row>
    <row r="30" spans="1:40" x14ac:dyDescent="0.2">
      <c r="A30" t="s">
        <v>703</v>
      </c>
    </row>
  </sheetData>
  <mergeCells count="66">
    <mergeCell ref="AL14:AL15"/>
    <mergeCell ref="AM14:AM15"/>
    <mergeCell ref="AN14:AN15"/>
    <mergeCell ref="AA14:AA15"/>
    <mergeCell ref="AB14:AB15"/>
    <mergeCell ref="AC14:AC15"/>
    <mergeCell ref="AD14:AD15"/>
    <mergeCell ref="AE14:AE15"/>
    <mergeCell ref="AF14:AJ14"/>
    <mergeCell ref="V14:V15"/>
    <mergeCell ref="W14:W15"/>
    <mergeCell ref="X14:X15"/>
    <mergeCell ref="Y14:Y15"/>
    <mergeCell ref="AK14:AK15"/>
    <mergeCell ref="Q14:Q15"/>
    <mergeCell ref="R14:R15"/>
    <mergeCell ref="S14:S15"/>
    <mergeCell ref="T14:T15"/>
    <mergeCell ref="U14:U15"/>
    <mergeCell ref="I14:I15"/>
    <mergeCell ref="J14:J15"/>
    <mergeCell ref="K14:K15"/>
    <mergeCell ref="L14:L15"/>
    <mergeCell ref="M14:M15"/>
    <mergeCell ref="N14:N15"/>
    <mergeCell ref="AF2:AJ2"/>
    <mergeCell ref="AK2:AK3"/>
    <mergeCell ref="AL2:AL3"/>
    <mergeCell ref="AM2:AM3"/>
    <mergeCell ref="X2:X3"/>
    <mergeCell ref="Y2:Y3"/>
    <mergeCell ref="N2:N3"/>
    <mergeCell ref="O2:O3"/>
    <mergeCell ref="P2:P3"/>
    <mergeCell ref="Q2:Q3"/>
    <mergeCell ref="R2:R3"/>
    <mergeCell ref="S2:S3"/>
    <mergeCell ref="Z14:Z15"/>
    <mergeCell ref="O14:O15"/>
    <mergeCell ref="P14:P15"/>
    <mergeCell ref="AN2:AN3"/>
    <mergeCell ref="A13:H13"/>
    <mergeCell ref="I13:K13"/>
    <mergeCell ref="L13:S13"/>
    <mergeCell ref="T13:Y13"/>
    <mergeCell ref="Z13:AN1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W2:W3"/>
    <mergeCell ref="A1:H1"/>
    <mergeCell ref="I1:K1"/>
    <mergeCell ref="L1:S1"/>
    <mergeCell ref="T1:Y1"/>
    <mergeCell ref="Z1:AN1"/>
    <mergeCell ref="I2:I3"/>
    <mergeCell ref="J2:J3"/>
    <mergeCell ref="K2:K3"/>
    <mergeCell ref="L2:L3"/>
    <mergeCell ref="M2:M3"/>
  </mergeCells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ADBD-4770-45E6-A1F2-99EA028905B6}">
  <dimension ref="B1:V87"/>
  <sheetViews>
    <sheetView tabSelected="1" topLeftCell="A3" zoomScale="80" zoomScaleNormal="80" workbookViewId="0">
      <selection activeCell="K12" sqref="K12"/>
    </sheetView>
  </sheetViews>
  <sheetFormatPr baseColWidth="10" defaultColWidth="10.83203125" defaultRowHeight="15" x14ac:dyDescent="0.2"/>
  <cols>
    <col min="1" max="1" width="3.5" customWidth="1"/>
    <col min="3" max="3" width="15.83203125" customWidth="1"/>
    <col min="4" max="4" width="14.33203125" bestFit="1" customWidth="1"/>
    <col min="5" max="5" width="8.1640625" bestFit="1" customWidth="1"/>
    <col min="6" max="6" width="22.1640625" customWidth="1"/>
    <col min="7" max="7" width="22.5" customWidth="1"/>
    <col min="8" max="8" width="15.83203125" bestFit="1" customWidth="1"/>
    <col min="9" max="9" width="31" bestFit="1" customWidth="1"/>
    <col min="10" max="10" width="34" bestFit="1" customWidth="1"/>
    <col min="11" max="11" width="30.33203125" customWidth="1"/>
    <col min="12" max="12" width="15.83203125" bestFit="1" customWidth="1"/>
    <col min="13" max="13" width="25.83203125" customWidth="1"/>
    <col min="14" max="14" width="24" bestFit="1" customWidth="1"/>
  </cols>
  <sheetData>
    <row r="1" spans="2:22" ht="16" thickBot="1" x14ac:dyDescent="0.25">
      <c r="B1" s="1" t="s">
        <v>143</v>
      </c>
      <c r="C1" s="1"/>
      <c r="D1" s="1"/>
      <c r="E1" s="1"/>
      <c r="F1" s="4"/>
      <c r="G1" s="4"/>
      <c r="H1" s="1"/>
      <c r="I1" s="4"/>
      <c r="J1" s="4"/>
      <c r="K1" s="1"/>
      <c r="L1" s="1"/>
    </row>
    <row r="2" spans="2:22" ht="19" x14ac:dyDescent="0.2">
      <c r="B2" s="395" t="s">
        <v>30</v>
      </c>
      <c r="C2" s="396"/>
      <c r="D2" s="397"/>
      <c r="E2" s="397"/>
      <c r="F2" s="397"/>
      <c r="G2" s="397"/>
      <c r="H2" s="397"/>
      <c r="I2" s="397"/>
      <c r="J2" s="397"/>
      <c r="K2" s="397"/>
      <c r="L2" s="398"/>
      <c r="N2" s="107" t="s">
        <v>658</v>
      </c>
      <c r="T2" s="103"/>
      <c r="V2" s="104"/>
    </row>
    <row r="3" spans="2:22" x14ac:dyDescent="0.2">
      <c r="B3" s="20" t="s">
        <v>199</v>
      </c>
      <c r="C3" s="110" t="s">
        <v>407</v>
      </c>
      <c r="D3" s="108" t="s">
        <v>20</v>
      </c>
      <c r="E3" s="108" t="s">
        <v>1</v>
      </c>
      <c r="F3" s="108" t="s">
        <v>388</v>
      </c>
      <c r="G3" s="108" t="s">
        <v>430</v>
      </c>
      <c r="H3" s="108" t="s">
        <v>17</v>
      </c>
      <c r="I3" s="108" t="s">
        <v>389</v>
      </c>
      <c r="J3" s="108" t="s">
        <v>390</v>
      </c>
      <c r="K3" s="108" t="s">
        <v>438</v>
      </c>
      <c r="L3" s="109" t="s">
        <v>468</v>
      </c>
      <c r="N3" s="107" t="s">
        <v>659</v>
      </c>
      <c r="T3" s="103"/>
      <c r="V3" s="103"/>
    </row>
    <row r="4" spans="2:22" x14ac:dyDescent="0.2">
      <c r="B4" s="381" t="s">
        <v>200</v>
      </c>
      <c r="C4" s="399" t="s">
        <v>408</v>
      </c>
      <c r="D4" s="111" t="s">
        <v>551</v>
      </c>
      <c r="E4" s="130" t="s">
        <v>434</v>
      </c>
      <c r="F4" s="112" t="s">
        <v>436</v>
      </c>
      <c r="G4" s="190" t="s">
        <v>431</v>
      </c>
      <c r="H4" s="130" t="s">
        <v>448</v>
      </c>
      <c r="I4" s="130" t="s">
        <v>28</v>
      </c>
      <c r="J4" s="130" t="s">
        <v>426</v>
      </c>
      <c r="K4" s="192" t="s">
        <v>645</v>
      </c>
      <c r="L4" s="130"/>
      <c r="N4" s="107" t="s">
        <v>660</v>
      </c>
      <c r="T4" s="103"/>
      <c r="V4" s="103"/>
    </row>
    <row r="5" spans="2:22" x14ac:dyDescent="0.2">
      <c r="B5" s="382"/>
      <c r="C5" s="400"/>
      <c r="D5" s="111" t="s">
        <v>552</v>
      </c>
      <c r="E5" s="130" t="s">
        <v>435</v>
      </c>
      <c r="F5" s="112" t="s">
        <v>437</v>
      </c>
      <c r="G5" s="190" t="s">
        <v>431</v>
      </c>
      <c r="H5" s="130" t="s">
        <v>449</v>
      </c>
      <c r="I5" s="130" t="s">
        <v>427</v>
      </c>
      <c r="J5" s="130" t="s">
        <v>28</v>
      </c>
      <c r="K5" s="192" t="s">
        <v>645</v>
      </c>
      <c r="L5" s="130"/>
      <c r="N5" s="107" t="s">
        <v>661</v>
      </c>
      <c r="T5" s="103"/>
      <c r="V5" s="103"/>
    </row>
    <row r="6" spans="2:22" x14ac:dyDescent="0.2">
      <c r="B6" s="382"/>
      <c r="C6" s="400"/>
      <c r="D6" s="111" t="s">
        <v>393</v>
      </c>
      <c r="E6" s="130" t="s">
        <v>392</v>
      </c>
      <c r="F6" s="112" t="s">
        <v>351</v>
      </c>
      <c r="G6" s="190" t="s">
        <v>431</v>
      </c>
      <c r="H6" s="130" t="s">
        <v>428</v>
      </c>
      <c r="I6" s="130" t="s">
        <v>28</v>
      </c>
      <c r="J6" s="130" t="s">
        <v>426</v>
      </c>
      <c r="K6" s="192" t="s">
        <v>645</v>
      </c>
      <c r="L6" s="130"/>
      <c r="N6" s="107" t="s">
        <v>509</v>
      </c>
      <c r="T6" s="103"/>
      <c r="V6" s="103"/>
    </row>
    <row r="7" spans="2:22" x14ac:dyDescent="0.2">
      <c r="B7" s="382"/>
      <c r="C7" s="401"/>
      <c r="D7" s="111" t="s">
        <v>391</v>
      </c>
      <c r="E7" s="130" t="s">
        <v>394</v>
      </c>
      <c r="F7" s="112" t="s">
        <v>352</v>
      </c>
      <c r="G7" s="190" t="s">
        <v>431</v>
      </c>
      <c r="H7" s="130" t="s">
        <v>429</v>
      </c>
      <c r="I7" s="130" t="s">
        <v>616</v>
      </c>
      <c r="J7" s="130" t="s">
        <v>28</v>
      </c>
      <c r="K7" s="192" t="s">
        <v>645</v>
      </c>
      <c r="L7" s="130"/>
      <c r="N7" s="107" t="s">
        <v>377</v>
      </c>
      <c r="T7" s="104"/>
      <c r="V7" s="103"/>
    </row>
    <row r="8" spans="2:22" x14ac:dyDescent="0.2">
      <c r="B8" s="382"/>
      <c r="C8" s="380" t="s">
        <v>409</v>
      </c>
      <c r="D8" s="34" t="s">
        <v>396</v>
      </c>
      <c r="E8" s="2" t="s">
        <v>469</v>
      </c>
      <c r="F8" s="115" t="s">
        <v>353</v>
      </c>
      <c r="G8" s="191" t="s">
        <v>431</v>
      </c>
      <c r="H8" s="2" t="s">
        <v>424</v>
      </c>
      <c r="I8" s="2" t="s">
        <v>28</v>
      </c>
      <c r="J8" s="2" t="s">
        <v>426</v>
      </c>
      <c r="K8" s="193" t="s">
        <v>645</v>
      </c>
      <c r="L8" s="2"/>
      <c r="N8" s="107" t="s">
        <v>664</v>
      </c>
      <c r="T8" s="104"/>
      <c r="V8" s="103"/>
    </row>
    <row r="9" spans="2:22" x14ac:dyDescent="0.2">
      <c r="B9" s="382"/>
      <c r="C9" s="380"/>
      <c r="D9" s="34" t="s">
        <v>395</v>
      </c>
      <c r="E9" s="2" t="s">
        <v>470</v>
      </c>
      <c r="F9" s="115" t="s">
        <v>354</v>
      </c>
      <c r="G9" s="191" t="s">
        <v>431</v>
      </c>
      <c r="H9" s="2" t="s">
        <v>425</v>
      </c>
      <c r="I9" s="2" t="s">
        <v>616</v>
      </c>
      <c r="J9" s="2" t="s">
        <v>28</v>
      </c>
      <c r="K9" s="193" t="s">
        <v>645</v>
      </c>
      <c r="L9" s="2"/>
      <c r="N9" s="107" t="s">
        <v>665</v>
      </c>
      <c r="T9" s="103"/>
      <c r="V9" s="104"/>
    </row>
    <row r="10" spans="2:22" x14ac:dyDescent="0.2">
      <c r="B10" s="382"/>
      <c r="C10" s="379" t="s">
        <v>410</v>
      </c>
      <c r="D10" s="111" t="s">
        <v>398</v>
      </c>
      <c r="E10" s="130" t="s">
        <v>471</v>
      </c>
      <c r="F10" s="112" t="s">
        <v>369</v>
      </c>
      <c r="G10" s="190" t="s">
        <v>432</v>
      </c>
      <c r="H10" s="130" t="s">
        <v>440</v>
      </c>
      <c r="I10" s="130" t="s">
        <v>28</v>
      </c>
      <c r="J10" s="130" t="s">
        <v>426</v>
      </c>
      <c r="K10" s="192" t="s">
        <v>439</v>
      </c>
      <c r="L10" s="130"/>
      <c r="N10" s="107" t="s">
        <v>668</v>
      </c>
      <c r="T10" s="103"/>
      <c r="V10" s="104"/>
    </row>
    <row r="11" spans="2:22" x14ac:dyDescent="0.2">
      <c r="B11" s="382"/>
      <c r="C11" s="379"/>
      <c r="D11" s="111" t="s">
        <v>397</v>
      </c>
      <c r="E11" s="130" t="s">
        <v>472</v>
      </c>
      <c r="F11" s="112" t="s">
        <v>370</v>
      </c>
      <c r="G11" s="190" t="s">
        <v>432</v>
      </c>
      <c r="H11" s="130" t="s">
        <v>441</v>
      </c>
      <c r="I11" s="130" t="s">
        <v>616</v>
      </c>
      <c r="J11" s="130" t="s">
        <v>28</v>
      </c>
      <c r="K11" s="192" t="s">
        <v>439</v>
      </c>
      <c r="L11" s="130"/>
      <c r="N11" s="107" t="s">
        <v>673</v>
      </c>
      <c r="T11" s="103"/>
      <c r="V11" s="103"/>
    </row>
    <row r="12" spans="2:22" x14ac:dyDescent="0.2">
      <c r="B12" s="382"/>
      <c r="C12" s="380" t="s">
        <v>411</v>
      </c>
      <c r="D12" s="34" t="s">
        <v>400</v>
      </c>
      <c r="E12" s="2" t="s">
        <v>473</v>
      </c>
      <c r="F12" s="115" t="s">
        <v>374</v>
      </c>
      <c r="G12" s="191" t="s">
        <v>433</v>
      </c>
      <c r="H12" s="2" t="s">
        <v>423</v>
      </c>
      <c r="I12" s="2" t="s">
        <v>28</v>
      </c>
      <c r="J12" s="2" t="s">
        <v>426</v>
      </c>
      <c r="K12" s="193" t="s">
        <v>439</v>
      </c>
      <c r="L12" s="2"/>
      <c r="N12" s="107" t="s">
        <v>670</v>
      </c>
      <c r="T12" s="103"/>
      <c r="V12" s="103"/>
    </row>
    <row r="13" spans="2:22" x14ac:dyDescent="0.2">
      <c r="B13" s="382"/>
      <c r="C13" s="380"/>
      <c r="D13" s="34" t="s">
        <v>399</v>
      </c>
      <c r="E13" s="2" t="s">
        <v>474</v>
      </c>
      <c r="F13" s="115" t="s">
        <v>373</v>
      </c>
      <c r="G13" s="191" t="s">
        <v>433</v>
      </c>
      <c r="H13" s="2" t="s">
        <v>422</v>
      </c>
      <c r="I13" s="2" t="s">
        <v>427</v>
      </c>
      <c r="J13" s="2" t="s">
        <v>28</v>
      </c>
      <c r="K13" s="193" t="s">
        <v>439</v>
      </c>
      <c r="L13" s="2"/>
      <c r="N13" s="107" t="s">
        <v>674</v>
      </c>
      <c r="V13" s="103"/>
    </row>
    <row r="14" spans="2:22" x14ac:dyDescent="0.2">
      <c r="B14" s="382"/>
      <c r="C14" s="379" t="s">
        <v>412</v>
      </c>
      <c r="D14" s="111" t="s">
        <v>402</v>
      </c>
      <c r="E14" s="130" t="s">
        <v>475</v>
      </c>
      <c r="F14" s="112" t="s">
        <v>357</v>
      </c>
      <c r="G14" s="190" t="s">
        <v>433</v>
      </c>
      <c r="H14" s="130" t="s">
        <v>446</v>
      </c>
      <c r="I14" s="130" t="s">
        <v>28</v>
      </c>
      <c r="J14" s="130" t="s">
        <v>426</v>
      </c>
      <c r="K14" s="192" t="s">
        <v>645</v>
      </c>
      <c r="L14" s="130"/>
      <c r="N14" s="107" t="s">
        <v>995</v>
      </c>
      <c r="V14" s="103"/>
    </row>
    <row r="15" spans="2:22" x14ac:dyDescent="0.2">
      <c r="B15" s="382"/>
      <c r="C15" s="379"/>
      <c r="D15" s="111" t="s">
        <v>401</v>
      </c>
      <c r="E15" s="130" t="s">
        <v>476</v>
      </c>
      <c r="F15" s="112" t="s">
        <v>358</v>
      </c>
      <c r="G15" s="190" t="s">
        <v>433</v>
      </c>
      <c r="H15" s="130" t="s">
        <v>447</v>
      </c>
      <c r="I15" s="130" t="s">
        <v>616</v>
      </c>
      <c r="J15" s="130" t="s">
        <v>28</v>
      </c>
      <c r="K15" s="192" t="s">
        <v>645</v>
      </c>
      <c r="L15" s="130"/>
      <c r="N15" s="107" t="s">
        <v>996</v>
      </c>
      <c r="V15" s="104"/>
    </row>
    <row r="16" spans="2:22" x14ac:dyDescent="0.2">
      <c r="B16" s="382"/>
      <c r="C16" s="380" t="s">
        <v>414</v>
      </c>
      <c r="D16" s="34" t="s">
        <v>406</v>
      </c>
      <c r="E16" s="2" t="s">
        <v>477</v>
      </c>
      <c r="F16" s="115" t="s">
        <v>421</v>
      </c>
      <c r="G16" s="191" t="s">
        <v>433</v>
      </c>
      <c r="H16" s="2" t="s">
        <v>420</v>
      </c>
      <c r="I16" s="2" t="s">
        <v>28</v>
      </c>
      <c r="J16" s="2" t="s">
        <v>426</v>
      </c>
      <c r="K16" s="193" t="s">
        <v>645</v>
      </c>
      <c r="L16" s="2"/>
      <c r="N16" s="107" t="s">
        <v>781</v>
      </c>
      <c r="P16" s="114"/>
      <c r="V16" s="103"/>
    </row>
    <row r="17" spans="2:22" x14ac:dyDescent="0.2">
      <c r="B17" s="382"/>
      <c r="C17" s="380"/>
      <c r="D17" s="34" t="s">
        <v>405</v>
      </c>
      <c r="E17" s="2" t="s">
        <v>478</v>
      </c>
      <c r="F17" s="115" t="s">
        <v>418</v>
      </c>
      <c r="G17" s="191" t="s">
        <v>433</v>
      </c>
      <c r="H17" s="2" t="s">
        <v>419</v>
      </c>
      <c r="I17" s="2" t="s">
        <v>616</v>
      </c>
      <c r="J17" s="2" t="s">
        <v>28</v>
      </c>
      <c r="K17" s="193" t="s">
        <v>645</v>
      </c>
      <c r="L17" s="2"/>
      <c r="N17" s="107" t="s">
        <v>780</v>
      </c>
      <c r="Q17" s="114"/>
      <c r="V17" s="103"/>
    </row>
    <row r="18" spans="2:22" x14ac:dyDescent="0.2">
      <c r="B18" s="382"/>
      <c r="C18" s="379" t="s">
        <v>487</v>
      </c>
      <c r="D18" s="111" t="s">
        <v>492</v>
      </c>
      <c r="E18" s="130" t="s">
        <v>488</v>
      </c>
      <c r="F18" s="112" t="s">
        <v>490</v>
      </c>
      <c r="G18" s="190" t="s">
        <v>433</v>
      </c>
      <c r="H18" s="130" t="s">
        <v>491</v>
      </c>
      <c r="I18" s="130" t="s">
        <v>28</v>
      </c>
      <c r="J18" s="130" t="s">
        <v>426</v>
      </c>
      <c r="K18" s="192" t="s">
        <v>645</v>
      </c>
      <c r="L18" s="130"/>
      <c r="N18" s="107" t="s">
        <v>778</v>
      </c>
      <c r="Q18" s="114"/>
      <c r="V18" s="103"/>
    </row>
    <row r="19" spans="2:22" x14ac:dyDescent="0.2">
      <c r="B19" s="382"/>
      <c r="C19" s="379"/>
      <c r="D19" s="111" t="s">
        <v>493</v>
      </c>
      <c r="E19" s="130" t="s">
        <v>489</v>
      </c>
      <c r="F19" s="112" t="s">
        <v>495</v>
      </c>
      <c r="G19" s="190" t="s">
        <v>433</v>
      </c>
      <c r="H19" s="130" t="s">
        <v>494</v>
      </c>
      <c r="I19" s="130" t="s">
        <v>616</v>
      </c>
      <c r="J19" s="130" t="s">
        <v>28</v>
      </c>
      <c r="K19" s="192" t="s">
        <v>645</v>
      </c>
      <c r="L19" s="130"/>
      <c r="N19" s="107" t="s">
        <v>779</v>
      </c>
      <c r="Q19" s="114"/>
      <c r="V19" s="103"/>
    </row>
    <row r="20" spans="2:22" x14ac:dyDescent="0.2">
      <c r="B20" s="382"/>
      <c r="C20" s="380" t="s">
        <v>502</v>
      </c>
      <c r="D20" s="34" t="s">
        <v>503</v>
      </c>
      <c r="E20" s="2" t="s">
        <v>505</v>
      </c>
      <c r="F20" s="115" t="s">
        <v>506</v>
      </c>
      <c r="G20" s="191" t="s">
        <v>433</v>
      </c>
      <c r="H20" s="2" t="s">
        <v>510</v>
      </c>
      <c r="I20" s="2" t="s">
        <v>28</v>
      </c>
      <c r="J20" s="2" t="s">
        <v>426</v>
      </c>
      <c r="K20" s="193" t="s">
        <v>645</v>
      </c>
      <c r="L20" s="2"/>
      <c r="N20" s="107" t="s">
        <v>845</v>
      </c>
      <c r="Q20" s="114"/>
      <c r="V20" s="103"/>
    </row>
    <row r="21" spans="2:22" x14ac:dyDescent="0.2">
      <c r="B21" s="382"/>
      <c r="C21" s="380"/>
      <c r="D21" s="34" t="s">
        <v>504</v>
      </c>
      <c r="E21" s="2" t="s">
        <v>507</v>
      </c>
      <c r="F21" s="115" t="s">
        <v>508</v>
      </c>
      <c r="G21" s="191" t="s">
        <v>433</v>
      </c>
      <c r="H21" s="2" t="s">
        <v>511</v>
      </c>
      <c r="I21" s="2" t="s">
        <v>616</v>
      </c>
      <c r="J21" s="2" t="s">
        <v>28</v>
      </c>
      <c r="K21" s="193" t="s">
        <v>645</v>
      </c>
      <c r="L21" s="2"/>
      <c r="N21" s="107" t="s">
        <v>947</v>
      </c>
      <c r="Q21" s="114"/>
      <c r="V21" s="103"/>
    </row>
    <row r="22" spans="2:22" x14ac:dyDescent="0.2">
      <c r="B22" s="382"/>
      <c r="C22" s="379" t="s">
        <v>550</v>
      </c>
      <c r="D22" s="111" t="s">
        <v>553</v>
      </c>
      <c r="E22" s="130" t="s">
        <v>555</v>
      </c>
      <c r="F22" s="112" t="s">
        <v>557</v>
      </c>
      <c r="G22" s="190" t="s">
        <v>431</v>
      </c>
      <c r="H22" s="130" t="s">
        <v>558</v>
      </c>
      <c r="I22" s="130" t="s">
        <v>28</v>
      </c>
      <c r="J22" s="130" t="s">
        <v>426</v>
      </c>
      <c r="K22" s="192" t="s">
        <v>645</v>
      </c>
      <c r="L22" s="130"/>
      <c r="N22" s="107" t="s">
        <v>948</v>
      </c>
      <c r="Q22" s="114"/>
      <c r="V22" s="103"/>
    </row>
    <row r="23" spans="2:22" x14ac:dyDescent="0.2">
      <c r="B23" s="382"/>
      <c r="C23" s="379"/>
      <c r="D23" s="111" t="s">
        <v>554</v>
      </c>
      <c r="E23" s="130" t="s">
        <v>556</v>
      </c>
      <c r="F23" s="112" t="s">
        <v>776</v>
      </c>
      <c r="G23" s="190" t="s">
        <v>431</v>
      </c>
      <c r="H23" s="130" t="s">
        <v>646</v>
      </c>
      <c r="I23" s="130" t="s">
        <v>616</v>
      </c>
      <c r="J23" s="130" t="s">
        <v>28</v>
      </c>
      <c r="K23" s="192" t="s">
        <v>645</v>
      </c>
      <c r="L23" s="130"/>
      <c r="N23" s="107" t="s">
        <v>994</v>
      </c>
      <c r="Q23" s="114"/>
      <c r="V23" s="103"/>
    </row>
    <row r="24" spans="2:22" x14ac:dyDescent="0.2">
      <c r="B24" s="382"/>
      <c r="C24" s="380" t="s">
        <v>550</v>
      </c>
      <c r="D24" s="34" t="s">
        <v>627</v>
      </c>
      <c r="E24" s="2" t="s">
        <v>629</v>
      </c>
      <c r="F24" s="115" t="s">
        <v>631</v>
      </c>
      <c r="G24" s="191" t="s">
        <v>431</v>
      </c>
      <c r="H24" s="2" t="s">
        <v>642</v>
      </c>
      <c r="I24" s="2" t="s">
        <v>28</v>
      </c>
      <c r="J24" s="2" t="s">
        <v>426</v>
      </c>
      <c r="K24" s="193" t="s">
        <v>645</v>
      </c>
      <c r="L24" s="2"/>
      <c r="N24" s="107" t="s">
        <v>993</v>
      </c>
      <c r="Q24" s="114"/>
      <c r="V24" s="103"/>
    </row>
    <row r="25" spans="2:22" ht="32" x14ac:dyDescent="0.2">
      <c r="B25" s="382"/>
      <c r="C25" s="380"/>
      <c r="D25" s="34" t="s">
        <v>628</v>
      </c>
      <c r="E25" s="2" t="s">
        <v>630</v>
      </c>
      <c r="F25" s="447" t="s">
        <v>1230</v>
      </c>
      <c r="G25" s="191" t="s">
        <v>431</v>
      </c>
      <c r="H25" s="356" t="s">
        <v>1231</v>
      </c>
      <c r="I25" s="356" t="s">
        <v>1233</v>
      </c>
      <c r="J25" s="2" t="s">
        <v>28</v>
      </c>
      <c r="K25" s="448" t="s">
        <v>1232</v>
      </c>
      <c r="L25" s="2"/>
      <c r="N25" s="107" t="s">
        <v>1221</v>
      </c>
      <c r="Q25" s="114"/>
      <c r="V25" s="103"/>
    </row>
    <row r="26" spans="2:22" x14ac:dyDescent="0.2">
      <c r="B26" s="382"/>
      <c r="C26" s="379" t="s">
        <v>589</v>
      </c>
      <c r="D26" s="111" t="s">
        <v>614</v>
      </c>
      <c r="E26" s="130" t="s">
        <v>590</v>
      </c>
      <c r="F26" s="112" t="s">
        <v>592</v>
      </c>
      <c r="G26" s="190" t="s">
        <v>433</v>
      </c>
      <c r="H26" s="130" t="s">
        <v>594</v>
      </c>
      <c r="I26" s="130" t="s">
        <v>28</v>
      </c>
      <c r="J26" s="130" t="s">
        <v>426</v>
      </c>
      <c r="K26" s="192" t="s">
        <v>645</v>
      </c>
      <c r="L26" s="130"/>
      <c r="N26" s="107" t="s">
        <v>1222</v>
      </c>
      <c r="Q26" s="114"/>
      <c r="V26" s="103"/>
    </row>
    <row r="27" spans="2:22" x14ac:dyDescent="0.2">
      <c r="B27" s="382"/>
      <c r="C27" s="379"/>
      <c r="D27" s="111" t="s">
        <v>615</v>
      </c>
      <c r="E27" s="130" t="s">
        <v>591</v>
      </c>
      <c r="F27" s="112" t="s">
        <v>593</v>
      </c>
      <c r="G27" s="190" t="s">
        <v>433</v>
      </c>
      <c r="H27" s="130" t="s">
        <v>595</v>
      </c>
      <c r="I27" s="130" t="s">
        <v>596</v>
      </c>
      <c r="J27" s="130" t="s">
        <v>28</v>
      </c>
      <c r="K27" s="192" t="s">
        <v>645</v>
      </c>
      <c r="L27" s="130"/>
      <c r="Q27" s="114"/>
      <c r="V27" s="103"/>
    </row>
    <row r="28" spans="2:22" x14ac:dyDescent="0.2">
      <c r="B28" s="382"/>
      <c r="C28" s="380" t="s">
        <v>680</v>
      </c>
      <c r="D28" s="34" t="s">
        <v>678</v>
      </c>
      <c r="E28" s="2" t="s">
        <v>181</v>
      </c>
      <c r="F28" s="115" t="s">
        <v>675</v>
      </c>
      <c r="G28" s="191" t="s">
        <v>433</v>
      </c>
      <c r="H28" s="2" t="s">
        <v>681</v>
      </c>
      <c r="I28" s="2" t="s">
        <v>28</v>
      </c>
      <c r="J28" s="2" t="s">
        <v>426</v>
      </c>
      <c r="K28" s="193" t="s">
        <v>645</v>
      </c>
      <c r="L28" s="2"/>
      <c r="N28" s="107" t="s">
        <v>662</v>
      </c>
      <c r="V28" s="103"/>
    </row>
    <row r="29" spans="2:22" x14ac:dyDescent="0.2">
      <c r="B29" s="382"/>
      <c r="C29" s="380"/>
      <c r="D29" s="34" t="s">
        <v>679</v>
      </c>
      <c r="E29" s="2" t="s">
        <v>677</v>
      </c>
      <c r="F29" s="115" t="s">
        <v>676</v>
      </c>
      <c r="G29" s="191" t="s">
        <v>433</v>
      </c>
      <c r="H29" s="2" t="s">
        <v>682</v>
      </c>
      <c r="I29" s="2" t="s">
        <v>616</v>
      </c>
      <c r="J29" s="2" t="s">
        <v>28</v>
      </c>
      <c r="K29" s="193" t="s">
        <v>645</v>
      </c>
      <c r="L29" s="2"/>
      <c r="N29" s="107" t="s">
        <v>671</v>
      </c>
      <c r="V29" s="103"/>
    </row>
    <row r="30" spans="2:22" x14ac:dyDescent="0.2">
      <c r="B30" s="382"/>
      <c r="C30" s="379" t="s">
        <v>698</v>
      </c>
      <c r="D30" s="111" t="s">
        <v>699</v>
      </c>
      <c r="E30" s="130" t="s">
        <v>168</v>
      </c>
      <c r="F30" s="112" t="s">
        <v>704</v>
      </c>
      <c r="G30" s="190" t="s">
        <v>433</v>
      </c>
      <c r="H30" s="130" t="s">
        <v>751</v>
      </c>
      <c r="I30" s="130" t="s">
        <v>28</v>
      </c>
      <c r="J30" s="130" t="s">
        <v>426</v>
      </c>
      <c r="K30" s="192" t="s">
        <v>645</v>
      </c>
      <c r="L30" s="130"/>
      <c r="N30" s="107" t="s">
        <v>949</v>
      </c>
      <c r="V30" s="103"/>
    </row>
    <row r="31" spans="2:22" x14ac:dyDescent="0.2">
      <c r="B31" s="382"/>
      <c r="C31" s="379"/>
      <c r="D31" s="111" t="s">
        <v>700</v>
      </c>
      <c r="E31" s="130" t="s">
        <v>707</v>
      </c>
      <c r="F31" s="112" t="s">
        <v>777</v>
      </c>
      <c r="G31" s="190" t="s">
        <v>433</v>
      </c>
      <c r="H31" s="130" t="s">
        <v>750</v>
      </c>
      <c r="I31" s="130" t="s">
        <v>616</v>
      </c>
      <c r="J31" s="130" t="s">
        <v>28</v>
      </c>
      <c r="K31" s="192" t="s">
        <v>645</v>
      </c>
      <c r="L31" s="130"/>
      <c r="N31" s="107" t="s">
        <v>950</v>
      </c>
      <c r="V31" s="103"/>
    </row>
    <row r="32" spans="2:22" ht="15" customHeight="1" x14ac:dyDescent="0.2">
      <c r="B32" s="382"/>
      <c r="C32" s="380" t="s">
        <v>697</v>
      </c>
      <c r="D32" s="34" t="s">
        <v>701</v>
      </c>
      <c r="E32" s="2" t="s">
        <v>708</v>
      </c>
      <c r="F32" s="115" t="s">
        <v>705</v>
      </c>
      <c r="G32" s="191" t="s">
        <v>433</v>
      </c>
      <c r="H32" s="2" t="s">
        <v>753</v>
      </c>
      <c r="I32" s="2" t="s">
        <v>28</v>
      </c>
      <c r="J32" s="2" t="s">
        <v>426</v>
      </c>
      <c r="K32" s="193" t="s">
        <v>645</v>
      </c>
      <c r="L32" s="2"/>
      <c r="N32" s="107" t="s">
        <v>1220</v>
      </c>
      <c r="V32" s="103"/>
    </row>
    <row r="33" spans="2:22" x14ac:dyDescent="0.2">
      <c r="B33" s="382"/>
      <c r="C33" s="380"/>
      <c r="D33" s="34" t="s">
        <v>702</v>
      </c>
      <c r="E33" s="2" t="s">
        <v>709</v>
      </c>
      <c r="F33" s="115" t="s">
        <v>706</v>
      </c>
      <c r="G33" s="191" t="s">
        <v>433</v>
      </c>
      <c r="H33" s="2" t="s">
        <v>752</v>
      </c>
      <c r="I33" s="2" t="s">
        <v>616</v>
      </c>
      <c r="J33" s="2" t="s">
        <v>28</v>
      </c>
      <c r="K33" s="193" t="s">
        <v>645</v>
      </c>
      <c r="L33" s="2"/>
      <c r="N33" s="107" t="s">
        <v>951</v>
      </c>
      <c r="V33" s="103"/>
    </row>
    <row r="34" spans="2:22" ht="15" customHeight="1" x14ac:dyDescent="0.2">
      <c r="B34" s="382"/>
      <c r="C34" s="379" t="s">
        <v>819</v>
      </c>
      <c r="D34" s="111" t="s">
        <v>712</v>
      </c>
      <c r="E34" s="130" t="s">
        <v>714</v>
      </c>
      <c r="F34" s="112" t="s">
        <v>716</v>
      </c>
      <c r="G34" s="190" t="s">
        <v>433</v>
      </c>
      <c r="H34" s="130" t="s">
        <v>755</v>
      </c>
      <c r="I34" s="130" t="s">
        <v>28</v>
      </c>
      <c r="J34" s="130" t="s">
        <v>426</v>
      </c>
      <c r="K34" s="192" t="s">
        <v>645</v>
      </c>
      <c r="L34" s="130"/>
      <c r="V34" s="103"/>
    </row>
    <row r="35" spans="2:22" x14ac:dyDescent="0.2">
      <c r="B35" s="382"/>
      <c r="C35" s="379"/>
      <c r="D35" s="111" t="s">
        <v>713</v>
      </c>
      <c r="E35" s="130" t="s">
        <v>715</v>
      </c>
      <c r="F35" s="112" t="s">
        <v>717</v>
      </c>
      <c r="G35" s="190" t="s">
        <v>433</v>
      </c>
      <c r="H35" s="130" t="s">
        <v>754</v>
      </c>
      <c r="I35" s="130" t="s">
        <v>616</v>
      </c>
      <c r="J35" s="130" t="s">
        <v>28</v>
      </c>
      <c r="K35" s="192" t="s">
        <v>645</v>
      </c>
      <c r="L35" s="130"/>
      <c r="N35" s="107" t="s">
        <v>663</v>
      </c>
      <c r="V35" s="103"/>
    </row>
    <row r="36" spans="2:22" ht="15" customHeight="1" x14ac:dyDescent="0.2">
      <c r="B36" s="382"/>
      <c r="C36" s="380" t="s">
        <v>818</v>
      </c>
      <c r="D36" s="34" t="s">
        <v>718</v>
      </c>
      <c r="E36" s="2" t="s">
        <v>720</v>
      </c>
      <c r="F36" s="115" t="s">
        <v>722</v>
      </c>
      <c r="G36" s="191" t="s">
        <v>724</v>
      </c>
      <c r="H36" s="2" t="s">
        <v>756</v>
      </c>
      <c r="I36" s="2" t="s">
        <v>28</v>
      </c>
      <c r="J36" s="2" t="s">
        <v>426</v>
      </c>
      <c r="K36" s="193" t="s">
        <v>645</v>
      </c>
      <c r="L36" s="2"/>
      <c r="N36" s="107" t="s">
        <v>666</v>
      </c>
      <c r="V36" s="103"/>
    </row>
    <row r="37" spans="2:22" x14ac:dyDescent="0.2">
      <c r="B37" s="382"/>
      <c r="C37" s="380"/>
      <c r="D37" s="34" t="s">
        <v>719</v>
      </c>
      <c r="E37" s="2" t="s">
        <v>721</v>
      </c>
      <c r="F37" s="115" t="s">
        <v>723</v>
      </c>
      <c r="G37" s="191" t="s">
        <v>724</v>
      </c>
      <c r="H37" s="2" t="s">
        <v>757</v>
      </c>
      <c r="I37" s="2" t="s">
        <v>616</v>
      </c>
      <c r="J37" s="2" t="s">
        <v>28</v>
      </c>
      <c r="K37" s="193" t="s">
        <v>645</v>
      </c>
      <c r="L37" s="2"/>
      <c r="N37" s="107" t="s">
        <v>669</v>
      </c>
      <c r="V37" s="103"/>
    </row>
    <row r="38" spans="2:22" ht="15" customHeight="1" x14ac:dyDescent="0.2">
      <c r="B38" s="382"/>
      <c r="C38" s="379" t="s">
        <v>820</v>
      </c>
      <c r="D38" s="111" t="s">
        <v>760</v>
      </c>
      <c r="E38" s="130" t="s">
        <v>766</v>
      </c>
      <c r="F38" s="112" t="s">
        <v>768</v>
      </c>
      <c r="G38" s="190" t="s">
        <v>433</v>
      </c>
      <c r="H38" s="130" t="s">
        <v>770</v>
      </c>
      <c r="I38" s="130" t="s">
        <v>28</v>
      </c>
      <c r="J38" s="130" t="s">
        <v>426</v>
      </c>
      <c r="K38" s="192" t="s">
        <v>645</v>
      </c>
      <c r="L38" s="130"/>
      <c r="N38" s="107" t="s">
        <v>667</v>
      </c>
      <c r="V38" s="103"/>
    </row>
    <row r="39" spans="2:22" x14ac:dyDescent="0.2">
      <c r="B39" s="382"/>
      <c r="C39" s="379"/>
      <c r="D39" s="111" t="s">
        <v>761</v>
      </c>
      <c r="E39" s="130" t="s">
        <v>767</v>
      </c>
      <c r="F39" s="112" t="s">
        <v>769</v>
      </c>
      <c r="G39" s="190" t="s">
        <v>433</v>
      </c>
      <c r="H39" s="130" t="s">
        <v>771</v>
      </c>
      <c r="I39" s="130" t="s">
        <v>616</v>
      </c>
      <c r="J39" s="130" t="s">
        <v>28</v>
      </c>
      <c r="K39" s="192" t="s">
        <v>645</v>
      </c>
      <c r="L39" s="130"/>
      <c r="N39" s="107" t="s">
        <v>672</v>
      </c>
      <c r="V39" s="103"/>
    </row>
    <row r="40" spans="2:22" ht="15" customHeight="1" x14ac:dyDescent="0.2">
      <c r="B40" s="382"/>
      <c r="C40" s="380" t="s">
        <v>821</v>
      </c>
      <c r="D40" s="34" t="s">
        <v>762</v>
      </c>
      <c r="E40" s="2" t="s">
        <v>764</v>
      </c>
      <c r="F40" s="115" t="s">
        <v>772</v>
      </c>
      <c r="G40" s="191" t="s">
        <v>433</v>
      </c>
      <c r="H40" s="2" t="s">
        <v>774</v>
      </c>
      <c r="I40" s="2" t="s">
        <v>28</v>
      </c>
      <c r="J40" s="2" t="s">
        <v>426</v>
      </c>
      <c r="K40" s="193" t="s">
        <v>645</v>
      </c>
      <c r="L40" s="2"/>
      <c r="N40" s="107" t="s">
        <v>998</v>
      </c>
      <c r="V40" s="103"/>
    </row>
    <row r="41" spans="2:22" x14ac:dyDescent="0.2">
      <c r="B41" s="382"/>
      <c r="C41" s="380"/>
      <c r="D41" s="34" t="s">
        <v>763</v>
      </c>
      <c r="E41" s="2" t="s">
        <v>765</v>
      </c>
      <c r="F41" s="115" t="s">
        <v>773</v>
      </c>
      <c r="G41" s="191" t="s">
        <v>433</v>
      </c>
      <c r="H41" s="2" t="s">
        <v>775</v>
      </c>
      <c r="I41" s="2" t="s">
        <v>616</v>
      </c>
      <c r="J41" s="2" t="s">
        <v>28</v>
      </c>
      <c r="K41" s="193" t="s">
        <v>645</v>
      </c>
      <c r="L41" s="2"/>
      <c r="N41" s="107" t="s">
        <v>846</v>
      </c>
      <c r="V41" s="103"/>
    </row>
    <row r="42" spans="2:22" ht="15" customHeight="1" x14ac:dyDescent="0.2">
      <c r="B42" s="382"/>
      <c r="C42" s="379" t="s">
        <v>824</v>
      </c>
      <c r="D42" s="111" t="s">
        <v>822</v>
      </c>
      <c r="E42" s="130" t="s">
        <v>828</v>
      </c>
      <c r="F42" s="112" t="s">
        <v>825</v>
      </c>
      <c r="G42" s="190" t="s">
        <v>433</v>
      </c>
      <c r="H42" s="130" t="s">
        <v>830</v>
      </c>
      <c r="I42" s="130" t="s">
        <v>28</v>
      </c>
      <c r="J42" s="130" t="s">
        <v>426</v>
      </c>
      <c r="K42" s="192" t="s">
        <v>645</v>
      </c>
      <c r="L42" s="130"/>
      <c r="N42" s="107" t="s">
        <v>997</v>
      </c>
      <c r="V42" s="103"/>
    </row>
    <row r="43" spans="2:22" x14ac:dyDescent="0.2">
      <c r="B43" s="382"/>
      <c r="C43" s="379"/>
      <c r="D43" s="111" t="s">
        <v>823</v>
      </c>
      <c r="E43" s="130" t="s">
        <v>827</v>
      </c>
      <c r="F43" s="112" t="s">
        <v>826</v>
      </c>
      <c r="G43" s="190" t="s">
        <v>433</v>
      </c>
      <c r="H43" s="130" t="s">
        <v>829</v>
      </c>
      <c r="I43" s="130" t="s">
        <v>616</v>
      </c>
      <c r="J43" s="130" t="s">
        <v>28</v>
      </c>
      <c r="K43" s="192" t="s">
        <v>645</v>
      </c>
      <c r="L43" s="130"/>
      <c r="V43" s="103"/>
    </row>
    <row r="44" spans="2:22" ht="15" customHeight="1" x14ac:dyDescent="0.2">
      <c r="B44" s="382"/>
      <c r="C44" s="380" t="s">
        <v>888</v>
      </c>
      <c r="D44" s="34" t="s">
        <v>889</v>
      </c>
      <c r="E44" s="2" t="s">
        <v>890</v>
      </c>
      <c r="F44" s="115" t="s">
        <v>891</v>
      </c>
      <c r="G44" s="191" t="s">
        <v>433</v>
      </c>
      <c r="H44" s="2" t="s">
        <v>892</v>
      </c>
      <c r="I44" s="2" t="s">
        <v>28</v>
      </c>
      <c r="J44" s="2" t="s">
        <v>426</v>
      </c>
      <c r="K44" s="193" t="s">
        <v>645</v>
      </c>
      <c r="L44" s="2"/>
      <c r="V44" s="103"/>
    </row>
    <row r="45" spans="2:22" x14ac:dyDescent="0.2">
      <c r="B45" s="382"/>
      <c r="C45" s="380"/>
      <c r="D45" s="34" t="s">
        <v>893</v>
      </c>
      <c r="E45" s="2" t="s">
        <v>894</v>
      </c>
      <c r="F45" s="115" t="s">
        <v>895</v>
      </c>
      <c r="G45" s="191" t="s">
        <v>433</v>
      </c>
      <c r="H45" s="2" t="s">
        <v>896</v>
      </c>
      <c r="I45" s="2" t="s">
        <v>616</v>
      </c>
      <c r="J45" s="2" t="s">
        <v>28</v>
      </c>
      <c r="K45" s="193" t="s">
        <v>645</v>
      </c>
      <c r="L45" s="2"/>
      <c r="V45" s="103"/>
    </row>
    <row r="46" spans="2:22" ht="15" customHeight="1" x14ac:dyDescent="0.2">
      <c r="B46" s="382"/>
      <c r="C46" s="379" t="s">
        <v>897</v>
      </c>
      <c r="D46" s="111" t="s">
        <v>898</v>
      </c>
      <c r="E46" s="130" t="s">
        <v>899</v>
      </c>
      <c r="F46" s="112" t="s">
        <v>900</v>
      </c>
      <c r="G46" s="190" t="s">
        <v>433</v>
      </c>
      <c r="H46" s="130" t="s">
        <v>901</v>
      </c>
      <c r="I46" s="130" t="s">
        <v>28</v>
      </c>
      <c r="J46" s="130" t="s">
        <v>426</v>
      </c>
      <c r="K46" s="192" t="s">
        <v>645</v>
      </c>
      <c r="L46" s="130"/>
      <c r="V46" s="103"/>
    </row>
    <row r="47" spans="2:22" x14ac:dyDescent="0.2">
      <c r="B47" s="382"/>
      <c r="C47" s="379"/>
      <c r="D47" s="111" t="s">
        <v>902</v>
      </c>
      <c r="E47" s="130" t="s">
        <v>903</v>
      </c>
      <c r="F47" s="112" t="s">
        <v>904</v>
      </c>
      <c r="G47" s="190" t="s">
        <v>433</v>
      </c>
      <c r="H47" s="130" t="s">
        <v>905</v>
      </c>
      <c r="I47" s="130" t="s">
        <v>616</v>
      </c>
      <c r="J47" s="130" t="s">
        <v>28</v>
      </c>
      <c r="K47" s="192" t="s">
        <v>645</v>
      </c>
      <c r="L47" s="130"/>
      <c r="V47" s="103"/>
    </row>
    <row r="48" spans="2:22" ht="15" customHeight="1" x14ac:dyDescent="0.2">
      <c r="B48" s="382"/>
      <c r="C48" s="380" t="s">
        <v>979</v>
      </c>
      <c r="D48" s="34" t="s">
        <v>991</v>
      </c>
      <c r="E48" s="2" t="s">
        <v>51</v>
      </c>
      <c r="F48" s="115" t="s">
        <v>981</v>
      </c>
      <c r="G48" s="191" t="s">
        <v>433</v>
      </c>
      <c r="H48" s="2" t="s">
        <v>986</v>
      </c>
      <c r="I48" s="2" t="s">
        <v>28</v>
      </c>
      <c r="J48" s="2" t="s">
        <v>426</v>
      </c>
      <c r="K48" s="193" t="s">
        <v>645</v>
      </c>
      <c r="L48" s="2"/>
      <c r="V48" s="103"/>
    </row>
    <row r="49" spans="2:22" x14ac:dyDescent="0.2">
      <c r="B49" s="382"/>
      <c r="C49" s="380"/>
      <c r="D49" s="34" t="s">
        <v>992</v>
      </c>
      <c r="E49" s="2" t="s">
        <v>980</v>
      </c>
      <c r="F49" s="115" t="s">
        <v>982</v>
      </c>
      <c r="G49" s="191" t="s">
        <v>433</v>
      </c>
      <c r="H49" s="2" t="s">
        <v>987</v>
      </c>
      <c r="I49" s="2" t="s">
        <v>616</v>
      </c>
      <c r="J49" s="2" t="s">
        <v>28</v>
      </c>
      <c r="K49" s="193" t="s">
        <v>645</v>
      </c>
      <c r="L49" s="2"/>
      <c r="V49" s="103"/>
    </row>
    <row r="50" spans="2:22" ht="15" customHeight="1" x14ac:dyDescent="0.2">
      <c r="B50" s="382"/>
      <c r="C50" s="379" t="s">
        <v>976</v>
      </c>
      <c r="D50" s="111" t="s">
        <v>977</v>
      </c>
      <c r="E50" s="130" t="s">
        <v>984</v>
      </c>
      <c r="F50" s="112" t="s">
        <v>985</v>
      </c>
      <c r="G50" s="190" t="s">
        <v>433</v>
      </c>
      <c r="H50" s="130" t="s">
        <v>988</v>
      </c>
      <c r="I50" s="130" t="s">
        <v>28</v>
      </c>
      <c r="J50" s="130" t="s">
        <v>426</v>
      </c>
      <c r="K50" s="192" t="s">
        <v>645</v>
      </c>
      <c r="L50" s="130"/>
      <c r="V50" s="103"/>
    </row>
    <row r="51" spans="2:22" x14ac:dyDescent="0.2">
      <c r="B51" s="382"/>
      <c r="C51" s="379"/>
      <c r="D51" s="111" t="s">
        <v>978</v>
      </c>
      <c r="E51" s="130" t="s">
        <v>983</v>
      </c>
      <c r="F51" s="112" t="s">
        <v>989</v>
      </c>
      <c r="G51" s="190" t="s">
        <v>433</v>
      </c>
      <c r="H51" s="130" t="s">
        <v>990</v>
      </c>
      <c r="I51" s="130" t="s">
        <v>616</v>
      </c>
      <c r="J51" s="130" t="s">
        <v>28</v>
      </c>
      <c r="K51" s="192" t="s">
        <v>645</v>
      </c>
      <c r="L51" s="130"/>
      <c r="V51" s="103"/>
    </row>
    <row r="52" spans="2:22" x14ac:dyDescent="0.2">
      <c r="B52" s="382"/>
      <c r="C52" s="380" t="s">
        <v>1102</v>
      </c>
      <c r="D52" s="34" t="s">
        <v>1104</v>
      </c>
      <c r="E52" s="2" t="s">
        <v>1218</v>
      </c>
      <c r="F52" s="115" t="s">
        <v>1107</v>
      </c>
      <c r="G52" s="191" t="s">
        <v>433</v>
      </c>
      <c r="H52" s="2" t="s">
        <v>1109</v>
      </c>
      <c r="I52" s="2" t="s">
        <v>28</v>
      </c>
      <c r="J52" s="2" t="s">
        <v>426</v>
      </c>
      <c r="K52" s="193" t="s">
        <v>1013</v>
      </c>
      <c r="L52" s="2"/>
      <c r="V52" s="103"/>
    </row>
    <row r="53" spans="2:22" x14ac:dyDescent="0.2">
      <c r="B53" s="382"/>
      <c r="C53" s="380"/>
      <c r="D53" s="34" t="s">
        <v>1105</v>
      </c>
      <c r="E53" s="2" t="s">
        <v>1106</v>
      </c>
      <c r="F53" s="115" t="s">
        <v>1108</v>
      </c>
      <c r="G53" s="191" t="s">
        <v>433</v>
      </c>
      <c r="H53" s="2" t="s">
        <v>1114</v>
      </c>
      <c r="I53" s="2" t="s">
        <v>616</v>
      </c>
      <c r="J53" s="2" t="s">
        <v>28</v>
      </c>
      <c r="K53" s="193" t="s">
        <v>1013</v>
      </c>
      <c r="L53" s="2"/>
      <c r="V53" s="103"/>
    </row>
    <row r="54" spans="2:22" x14ac:dyDescent="0.2">
      <c r="B54" s="382"/>
      <c r="C54" s="379" t="s">
        <v>1103</v>
      </c>
      <c r="D54" s="111" t="s">
        <v>1200</v>
      </c>
      <c r="E54" s="130" t="s">
        <v>1206</v>
      </c>
      <c r="F54" s="112" t="s">
        <v>1204</v>
      </c>
      <c r="G54" s="190" t="s">
        <v>433</v>
      </c>
      <c r="H54" s="130" t="s">
        <v>1208</v>
      </c>
      <c r="I54" s="130" t="s">
        <v>28</v>
      </c>
      <c r="J54" s="130" t="s">
        <v>426</v>
      </c>
      <c r="K54" s="192" t="s">
        <v>1013</v>
      </c>
      <c r="L54" s="130"/>
      <c r="V54" s="103"/>
    </row>
    <row r="55" spans="2:22" x14ac:dyDescent="0.2">
      <c r="B55" s="383"/>
      <c r="C55" s="379"/>
      <c r="D55" s="111" t="s">
        <v>1201</v>
      </c>
      <c r="E55" s="130" t="s">
        <v>1207</v>
      </c>
      <c r="F55" s="112" t="s">
        <v>1205</v>
      </c>
      <c r="G55" s="190" t="s">
        <v>433</v>
      </c>
      <c r="H55" s="130" t="s">
        <v>1209</v>
      </c>
      <c r="I55" s="130" t="s">
        <v>616</v>
      </c>
      <c r="J55" s="130" t="s">
        <v>28</v>
      </c>
      <c r="K55" s="192" t="s">
        <v>1013</v>
      </c>
      <c r="L55" s="130"/>
      <c r="V55" s="103"/>
    </row>
    <row r="56" spans="2:22" x14ac:dyDescent="0.2">
      <c r="B56" s="381" t="s">
        <v>202</v>
      </c>
      <c r="C56" s="390" t="s">
        <v>415</v>
      </c>
      <c r="D56" s="113" t="s">
        <v>417</v>
      </c>
      <c r="E56" s="64" t="s">
        <v>479</v>
      </c>
      <c r="F56" s="195" t="s">
        <v>361</v>
      </c>
      <c r="G56" s="216" t="s">
        <v>433</v>
      </c>
      <c r="H56" s="64" t="s">
        <v>445</v>
      </c>
      <c r="I56" s="64" t="s">
        <v>28</v>
      </c>
      <c r="J56" s="64" t="s">
        <v>426</v>
      </c>
      <c r="K56" s="216" t="s">
        <v>645</v>
      </c>
      <c r="L56" s="64"/>
      <c r="V56" s="104"/>
    </row>
    <row r="57" spans="2:22" x14ac:dyDescent="0.2">
      <c r="B57" s="382"/>
      <c r="C57" s="390"/>
      <c r="D57" s="113" t="s">
        <v>416</v>
      </c>
      <c r="E57" s="64" t="s">
        <v>480</v>
      </c>
      <c r="F57" s="195" t="s">
        <v>362</v>
      </c>
      <c r="G57" s="216" t="s">
        <v>433</v>
      </c>
      <c r="H57" s="64" t="s">
        <v>444</v>
      </c>
      <c r="I57" s="64" t="s">
        <v>616</v>
      </c>
      <c r="J57" s="64" t="s">
        <v>28</v>
      </c>
      <c r="K57" s="216" t="s">
        <v>645</v>
      </c>
      <c r="L57" s="64"/>
      <c r="P57" s="103"/>
      <c r="V57" s="104"/>
    </row>
    <row r="58" spans="2:22" x14ac:dyDescent="0.2">
      <c r="B58" s="384"/>
      <c r="C58" s="386" t="s">
        <v>906</v>
      </c>
      <c r="D58" s="196" t="s">
        <v>907</v>
      </c>
      <c r="E58" s="197" t="s">
        <v>149</v>
      </c>
      <c r="F58" s="198" t="s">
        <v>908</v>
      </c>
      <c r="G58" s="217" t="s">
        <v>433</v>
      </c>
      <c r="H58" s="197" t="s">
        <v>909</v>
      </c>
      <c r="I58" s="197" t="s">
        <v>28</v>
      </c>
      <c r="J58" s="197" t="s">
        <v>426</v>
      </c>
      <c r="K58" s="217" t="s">
        <v>645</v>
      </c>
      <c r="L58" s="217"/>
      <c r="V58" s="103"/>
    </row>
    <row r="59" spans="2:22" x14ac:dyDescent="0.2">
      <c r="B59" s="384"/>
      <c r="C59" s="386"/>
      <c r="D59" s="196" t="s">
        <v>910</v>
      </c>
      <c r="E59" s="197" t="s">
        <v>911</v>
      </c>
      <c r="F59" s="198" t="s">
        <v>912</v>
      </c>
      <c r="G59" s="217" t="s">
        <v>433</v>
      </c>
      <c r="H59" s="197" t="s">
        <v>913</v>
      </c>
      <c r="I59" s="197" t="s">
        <v>616</v>
      </c>
      <c r="J59" s="197" t="s">
        <v>28</v>
      </c>
      <c r="K59" s="217" t="s">
        <v>645</v>
      </c>
      <c r="L59" s="217"/>
      <c r="V59" s="103"/>
    </row>
    <row r="60" spans="2:22" ht="16.5" customHeight="1" x14ac:dyDescent="0.2">
      <c r="B60" s="382"/>
      <c r="C60" s="388" t="s">
        <v>1202</v>
      </c>
      <c r="D60" s="113" t="s">
        <v>914</v>
      </c>
      <c r="E60" s="64" t="s">
        <v>915</v>
      </c>
      <c r="F60" s="244" t="s">
        <v>916</v>
      </c>
      <c r="G60" s="64" t="s">
        <v>433</v>
      </c>
      <c r="H60" s="64" t="s">
        <v>917</v>
      </c>
      <c r="I60" s="64" t="s">
        <v>28</v>
      </c>
      <c r="J60" s="64" t="s">
        <v>426</v>
      </c>
      <c r="K60" s="64" t="s">
        <v>645</v>
      </c>
      <c r="L60" s="64"/>
      <c r="V60" s="103"/>
    </row>
    <row r="61" spans="2:22" x14ac:dyDescent="0.2">
      <c r="B61" s="382"/>
      <c r="C61" s="389"/>
      <c r="D61" s="113" t="s">
        <v>918</v>
      </c>
      <c r="E61" s="64" t="s">
        <v>919</v>
      </c>
      <c r="F61" s="244" t="s">
        <v>920</v>
      </c>
      <c r="G61" s="64" t="s">
        <v>433</v>
      </c>
      <c r="H61" s="64" t="s">
        <v>921</v>
      </c>
      <c r="I61" s="64" t="s">
        <v>616</v>
      </c>
      <c r="J61" s="64" t="s">
        <v>28</v>
      </c>
      <c r="K61" s="64" t="s">
        <v>645</v>
      </c>
      <c r="L61" s="64"/>
      <c r="V61" s="103"/>
    </row>
    <row r="62" spans="2:22" x14ac:dyDescent="0.2">
      <c r="B62" s="384"/>
      <c r="C62" s="388" t="s">
        <v>1203</v>
      </c>
      <c r="D62" s="113" t="s">
        <v>1110</v>
      </c>
      <c r="E62" s="64" t="s">
        <v>473</v>
      </c>
      <c r="F62" s="244" t="s">
        <v>1112</v>
      </c>
      <c r="G62" s="64" t="s">
        <v>433</v>
      </c>
      <c r="H62" s="64" t="s">
        <v>1115</v>
      </c>
      <c r="I62" s="64" t="s">
        <v>28</v>
      </c>
      <c r="J62" s="64" t="s">
        <v>426</v>
      </c>
      <c r="K62" s="64" t="s">
        <v>1013</v>
      </c>
      <c r="L62" s="64"/>
      <c r="V62" s="103"/>
    </row>
    <row r="63" spans="2:22" x14ac:dyDescent="0.2">
      <c r="B63" s="384"/>
      <c r="C63" s="389"/>
      <c r="D63" s="113" t="s">
        <v>1111</v>
      </c>
      <c r="E63" s="64" t="s">
        <v>1123</v>
      </c>
      <c r="F63" s="244" t="s">
        <v>1113</v>
      </c>
      <c r="G63" s="64" t="s">
        <v>433</v>
      </c>
      <c r="H63" s="64" t="s">
        <v>1116</v>
      </c>
      <c r="I63" s="64" t="s">
        <v>616</v>
      </c>
      <c r="J63" s="64" t="s">
        <v>28</v>
      </c>
      <c r="K63" s="64" t="s">
        <v>1013</v>
      </c>
      <c r="L63" s="64"/>
      <c r="V63" s="103"/>
    </row>
    <row r="64" spans="2:22" x14ac:dyDescent="0.2">
      <c r="B64" s="384"/>
      <c r="C64" s="387" t="s">
        <v>922</v>
      </c>
      <c r="D64" s="196" t="s">
        <v>923</v>
      </c>
      <c r="E64" s="197" t="s">
        <v>924</v>
      </c>
      <c r="F64" s="243" t="s">
        <v>925</v>
      </c>
      <c r="G64" s="217" t="s">
        <v>433</v>
      </c>
      <c r="H64" s="197" t="s">
        <v>926</v>
      </c>
      <c r="I64" s="197" t="s">
        <v>28</v>
      </c>
      <c r="J64" s="197" t="s">
        <v>426</v>
      </c>
      <c r="K64" s="217" t="s">
        <v>645</v>
      </c>
      <c r="L64" s="217"/>
      <c r="V64" s="103"/>
    </row>
    <row r="65" spans="2:22" x14ac:dyDescent="0.2">
      <c r="B65" s="385"/>
      <c r="C65" s="387"/>
      <c r="D65" s="196" t="s">
        <v>927</v>
      </c>
      <c r="E65" s="197" t="s">
        <v>928</v>
      </c>
      <c r="F65" s="198" t="s">
        <v>929</v>
      </c>
      <c r="G65" s="217" t="s">
        <v>433</v>
      </c>
      <c r="H65" s="197" t="s">
        <v>930</v>
      </c>
      <c r="I65" s="197" t="s">
        <v>616</v>
      </c>
      <c r="J65" s="197" t="s">
        <v>28</v>
      </c>
      <c r="K65" s="217" t="s">
        <v>645</v>
      </c>
      <c r="L65" s="217"/>
      <c r="V65" s="103"/>
    </row>
    <row r="66" spans="2:22" x14ac:dyDescent="0.2">
      <c r="B66" s="380" t="s">
        <v>201</v>
      </c>
      <c r="C66" s="391" t="s">
        <v>455</v>
      </c>
      <c r="D66" s="116" t="s">
        <v>456</v>
      </c>
      <c r="E66" s="133" t="s">
        <v>155</v>
      </c>
      <c r="F66" s="117" t="s">
        <v>458</v>
      </c>
      <c r="G66" s="218" t="s">
        <v>433</v>
      </c>
      <c r="H66" s="133" t="s">
        <v>463</v>
      </c>
      <c r="I66" s="133" t="s">
        <v>28</v>
      </c>
      <c r="J66" s="133" t="s">
        <v>426</v>
      </c>
      <c r="K66" s="218" t="s">
        <v>645</v>
      </c>
      <c r="L66" s="133"/>
      <c r="V66" s="103"/>
    </row>
    <row r="67" spans="2:22" x14ac:dyDescent="0.2">
      <c r="B67" s="380"/>
      <c r="C67" s="392"/>
      <c r="D67" s="116" t="s">
        <v>457</v>
      </c>
      <c r="E67" s="133" t="s">
        <v>460</v>
      </c>
      <c r="F67" s="117" t="s">
        <v>459</v>
      </c>
      <c r="G67" s="218" t="s">
        <v>433</v>
      </c>
      <c r="H67" s="133" t="s">
        <v>464</v>
      </c>
      <c r="I67" s="133" t="s">
        <v>616</v>
      </c>
      <c r="J67" s="133" t="s">
        <v>28</v>
      </c>
      <c r="K67" s="218" t="s">
        <v>645</v>
      </c>
      <c r="L67" s="133"/>
      <c r="V67" s="103"/>
    </row>
    <row r="68" spans="2:22" x14ac:dyDescent="0.2">
      <c r="B68" s="380"/>
      <c r="C68" s="393" t="s">
        <v>512</v>
      </c>
      <c r="D68" s="199" t="s">
        <v>513</v>
      </c>
      <c r="E68" s="136" t="s">
        <v>519</v>
      </c>
      <c r="F68" s="200" t="s">
        <v>515</v>
      </c>
      <c r="G68" s="219" t="s">
        <v>433</v>
      </c>
      <c r="H68" s="136" t="s">
        <v>517</v>
      </c>
      <c r="I68" s="136" t="s">
        <v>28</v>
      </c>
      <c r="J68" s="136" t="s">
        <v>426</v>
      </c>
      <c r="K68" s="219" t="s">
        <v>439</v>
      </c>
      <c r="L68" s="136"/>
      <c r="V68" s="103"/>
    </row>
    <row r="69" spans="2:22" x14ac:dyDescent="0.2">
      <c r="B69" s="380"/>
      <c r="C69" s="394"/>
      <c r="D69" s="199" t="s">
        <v>514</v>
      </c>
      <c r="E69" s="136" t="s">
        <v>520</v>
      </c>
      <c r="F69" s="200" t="s">
        <v>516</v>
      </c>
      <c r="G69" s="219" t="s">
        <v>433</v>
      </c>
      <c r="H69" s="136" t="s">
        <v>518</v>
      </c>
      <c r="I69" s="136" t="s">
        <v>616</v>
      </c>
      <c r="J69" s="136" t="s">
        <v>28</v>
      </c>
      <c r="K69" s="219" t="s">
        <v>439</v>
      </c>
      <c r="L69" s="136"/>
    </row>
    <row r="70" spans="2:22" x14ac:dyDescent="0.2">
      <c r="B70" s="380"/>
      <c r="C70" s="391" t="s">
        <v>528</v>
      </c>
      <c r="D70" s="116" t="s">
        <v>529</v>
      </c>
      <c r="E70" s="133" t="s">
        <v>531</v>
      </c>
      <c r="F70" s="117" t="s">
        <v>533</v>
      </c>
      <c r="G70" s="218" t="s">
        <v>639</v>
      </c>
      <c r="H70" s="133" t="s">
        <v>549</v>
      </c>
      <c r="I70" s="133" t="s">
        <v>28</v>
      </c>
      <c r="J70" s="133" t="s">
        <v>426</v>
      </c>
      <c r="K70" s="218" t="s">
        <v>645</v>
      </c>
      <c r="L70" s="133"/>
      <c r="Q70" s="114"/>
      <c r="V70" s="103"/>
    </row>
    <row r="71" spans="2:22" x14ac:dyDescent="0.2">
      <c r="B71" s="380"/>
      <c r="C71" s="392"/>
      <c r="D71" s="116" t="s">
        <v>530</v>
      </c>
      <c r="E71" s="133" t="s">
        <v>532</v>
      </c>
      <c r="F71" s="117" t="s">
        <v>534</v>
      </c>
      <c r="G71" s="218" t="s">
        <v>639</v>
      </c>
      <c r="H71" s="133" t="s">
        <v>548</v>
      </c>
      <c r="I71" s="133" t="s">
        <v>616</v>
      </c>
      <c r="J71" s="133" t="s">
        <v>28</v>
      </c>
      <c r="K71" s="218" t="s">
        <v>645</v>
      </c>
      <c r="L71" s="133"/>
      <c r="Q71" s="114"/>
      <c r="V71" s="103"/>
    </row>
    <row r="72" spans="2:22" x14ac:dyDescent="0.2">
      <c r="B72" s="380"/>
      <c r="C72" s="393" t="s">
        <v>539</v>
      </c>
      <c r="D72" s="199" t="s">
        <v>544</v>
      </c>
      <c r="E72" s="136" t="s">
        <v>540</v>
      </c>
      <c r="F72" s="200" t="s">
        <v>542</v>
      </c>
      <c r="G72" s="219" t="s">
        <v>619</v>
      </c>
      <c r="H72" s="136" t="s">
        <v>546</v>
      </c>
      <c r="I72" s="136" t="s">
        <v>28</v>
      </c>
      <c r="J72" s="136" t="s">
        <v>426</v>
      </c>
      <c r="K72" s="219" t="s">
        <v>645</v>
      </c>
      <c r="L72" s="136"/>
      <c r="V72" s="103"/>
    </row>
    <row r="73" spans="2:22" x14ac:dyDescent="0.2">
      <c r="B73" s="380"/>
      <c r="C73" s="394"/>
      <c r="D73" s="199" t="s">
        <v>545</v>
      </c>
      <c r="E73" s="136" t="s">
        <v>541</v>
      </c>
      <c r="F73" s="200" t="s">
        <v>543</v>
      </c>
      <c r="G73" s="219" t="s">
        <v>619</v>
      </c>
      <c r="H73" s="136" t="s">
        <v>547</v>
      </c>
      <c r="I73" s="136" t="s">
        <v>616</v>
      </c>
      <c r="J73" s="136" t="s">
        <v>28</v>
      </c>
      <c r="K73" s="219" t="s">
        <v>645</v>
      </c>
      <c r="L73" s="136"/>
      <c r="V73" s="104"/>
    </row>
    <row r="74" spans="2:22" x14ac:dyDescent="0.2">
      <c r="B74" s="380"/>
      <c r="C74" s="391" t="s">
        <v>632</v>
      </c>
      <c r="D74" s="116" t="s">
        <v>633</v>
      </c>
      <c r="E74" s="133" t="s">
        <v>635</v>
      </c>
      <c r="F74" s="117" t="s">
        <v>643</v>
      </c>
      <c r="G74" s="218" t="s">
        <v>433</v>
      </c>
      <c r="H74" s="133" t="s">
        <v>637</v>
      </c>
      <c r="I74" s="133" t="s">
        <v>28</v>
      </c>
      <c r="J74" s="133" t="s">
        <v>426</v>
      </c>
      <c r="K74" s="218" t="s">
        <v>645</v>
      </c>
      <c r="L74" s="133"/>
      <c r="V74" s="104"/>
    </row>
    <row r="75" spans="2:22" x14ac:dyDescent="0.2">
      <c r="B75" s="380"/>
      <c r="C75" s="392"/>
      <c r="D75" s="116" t="s">
        <v>634</v>
      </c>
      <c r="E75" s="133" t="s">
        <v>636</v>
      </c>
      <c r="F75" s="117" t="s">
        <v>644</v>
      </c>
      <c r="G75" s="218" t="s">
        <v>433</v>
      </c>
      <c r="H75" s="133" t="s">
        <v>638</v>
      </c>
      <c r="I75" s="133" t="s">
        <v>616</v>
      </c>
      <c r="J75" s="133" t="s">
        <v>28</v>
      </c>
      <c r="K75" s="218" t="s">
        <v>645</v>
      </c>
      <c r="L75" s="133"/>
      <c r="V75" s="103"/>
    </row>
    <row r="76" spans="2:22" x14ac:dyDescent="0.2">
      <c r="B76" s="380"/>
      <c r="C76" s="393" t="s">
        <v>689</v>
      </c>
      <c r="D76" s="199" t="s">
        <v>690</v>
      </c>
      <c r="E76" s="136" t="s">
        <v>692</v>
      </c>
      <c r="F76" s="200" t="s">
        <v>695</v>
      </c>
      <c r="G76" s="219" t="s">
        <v>696</v>
      </c>
      <c r="H76" s="136" t="s">
        <v>758</v>
      </c>
      <c r="I76" s="136" t="s">
        <v>28</v>
      </c>
      <c r="J76" s="136" t="s">
        <v>426</v>
      </c>
      <c r="K76" s="219" t="s">
        <v>645</v>
      </c>
      <c r="L76" s="136"/>
    </row>
    <row r="77" spans="2:22" x14ac:dyDescent="0.2">
      <c r="B77" s="380"/>
      <c r="C77" s="394"/>
      <c r="D77" s="199" t="s">
        <v>691</v>
      </c>
      <c r="E77" s="136" t="s">
        <v>693</v>
      </c>
      <c r="F77" s="200" t="s">
        <v>694</v>
      </c>
      <c r="G77" s="219" t="s">
        <v>696</v>
      </c>
      <c r="H77" s="136" t="s">
        <v>759</v>
      </c>
      <c r="I77" s="136" t="s">
        <v>616</v>
      </c>
      <c r="J77" s="136" t="s">
        <v>28</v>
      </c>
      <c r="K77" s="219" t="s">
        <v>645</v>
      </c>
      <c r="L77" s="136"/>
    </row>
    <row r="78" spans="2:22" x14ac:dyDescent="0.2">
      <c r="B78" s="380"/>
      <c r="C78" s="391" t="s">
        <v>810</v>
      </c>
      <c r="D78" s="116" t="s">
        <v>811</v>
      </c>
      <c r="E78" s="133" t="s">
        <v>814</v>
      </c>
      <c r="F78" s="117" t="s">
        <v>1026</v>
      </c>
      <c r="G78" s="218" t="s">
        <v>817</v>
      </c>
      <c r="H78" s="133" t="s">
        <v>815</v>
      </c>
      <c r="I78" s="133" t="s">
        <v>28</v>
      </c>
      <c r="J78" s="133" t="s">
        <v>426</v>
      </c>
      <c r="K78" s="218" t="s">
        <v>645</v>
      </c>
      <c r="L78" s="133"/>
    </row>
    <row r="79" spans="2:22" x14ac:dyDescent="0.2">
      <c r="B79" s="380"/>
      <c r="C79" s="392"/>
      <c r="D79" s="116" t="s">
        <v>812</v>
      </c>
      <c r="E79" s="133" t="s">
        <v>813</v>
      </c>
      <c r="F79" s="117" t="s">
        <v>1027</v>
      </c>
      <c r="G79" s="218" t="s">
        <v>817</v>
      </c>
      <c r="H79" s="133" t="s">
        <v>816</v>
      </c>
      <c r="I79" s="133" t="s">
        <v>616</v>
      </c>
      <c r="J79" s="133" t="s">
        <v>28</v>
      </c>
      <c r="K79" s="218" t="s">
        <v>645</v>
      </c>
      <c r="L79" s="133"/>
    </row>
    <row r="80" spans="2:22" x14ac:dyDescent="0.2">
      <c r="B80" s="380"/>
      <c r="C80" s="393" t="s">
        <v>961</v>
      </c>
      <c r="D80" s="199" t="s">
        <v>962</v>
      </c>
      <c r="E80" s="136" t="s">
        <v>147</v>
      </c>
      <c r="F80" s="200" t="s">
        <v>966</v>
      </c>
      <c r="G80" s="219" t="s">
        <v>433</v>
      </c>
      <c r="H80" s="136" t="s">
        <v>964</v>
      </c>
      <c r="I80" s="136" t="s">
        <v>28</v>
      </c>
      <c r="J80" s="136" t="s">
        <v>426</v>
      </c>
      <c r="K80" s="219" t="s">
        <v>645</v>
      </c>
      <c r="L80" s="136"/>
    </row>
    <row r="81" spans="2:12" x14ac:dyDescent="0.2">
      <c r="B81" s="380"/>
      <c r="C81" s="394"/>
      <c r="D81" s="199" t="s">
        <v>963</v>
      </c>
      <c r="E81" s="136" t="s">
        <v>968</v>
      </c>
      <c r="F81" s="200" t="s">
        <v>967</v>
      </c>
      <c r="G81" s="219" t="s">
        <v>433</v>
      </c>
      <c r="H81" s="136" t="s">
        <v>965</v>
      </c>
      <c r="I81" s="136" t="s">
        <v>616</v>
      </c>
      <c r="J81" s="136" t="s">
        <v>28</v>
      </c>
      <c r="K81" s="219" t="s">
        <v>645</v>
      </c>
      <c r="L81" s="136"/>
    </row>
    <row r="84" spans="2:12" x14ac:dyDescent="0.2">
      <c r="C84" s="402" t="s">
        <v>413</v>
      </c>
      <c r="D84" s="349" t="s">
        <v>404</v>
      </c>
      <c r="E84" s="350" t="s">
        <v>452</v>
      </c>
      <c r="F84" s="351" t="s">
        <v>365</v>
      </c>
      <c r="G84" s="353" t="s">
        <v>433</v>
      </c>
      <c r="H84" s="350" t="s">
        <v>443</v>
      </c>
      <c r="I84" s="350" t="s">
        <v>28</v>
      </c>
      <c r="J84" s="350" t="s">
        <v>426</v>
      </c>
      <c r="K84" s="352" t="s">
        <v>439</v>
      </c>
      <c r="L84" s="350" t="s">
        <v>952</v>
      </c>
    </row>
    <row r="85" spans="2:12" x14ac:dyDescent="0.2">
      <c r="C85" s="402"/>
      <c r="D85" s="349" t="s">
        <v>403</v>
      </c>
      <c r="E85" s="350" t="s">
        <v>453</v>
      </c>
      <c r="F85" s="351" t="s">
        <v>366</v>
      </c>
      <c r="G85" s="353" t="s">
        <v>433</v>
      </c>
      <c r="H85" s="350" t="s">
        <v>442</v>
      </c>
      <c r="I85" s="350" t="s">
        <v>616</v>
      </c>
      <c r="J85" s="350" t="s">
        <v>28</v>
      </c>
      <c r="K85" s="352" t="s">
        <v>439</v>
      </c>
      <c r="L85" s="350" t="s">
        <v>952</v>
      </c>
    </row>
    <row r="86" spans="2:12" x14ac:dyDescent="0.2">
      <c r="C86" s="377" t="s">
        <v>620</v>
      </c>
      <c r="D86" s="349" t="s">
        <v>621</v>
      </c>
      <c r="E86" s="350" t="s">
        <v>625</v>
      </c>
      <c r="F86" s="351" t="s">
        <v>640</v>
      </c>
      <c r="G86" s="352" t="s">
        <v>433</v>
      </c>
      <c r="H86" s="350" t="s">
        <v>623</v>
      </c>
      <c r="I86" s="350" t="s">
        <v>28</v>
      </c>
      <c r="J86" s="350" t="s">
        <v>426</v>
      </c>
      <c r="K86" s="352" t="s">
        <v>645</v>
      </c>
      <c r="L86" s="350" t="s">
        <v>1223</v>
      </c>
    </row>
    <row r="87" spans="2:12" x14ac:dyDescent="0.2">
      <c r="C87" s="378"/>
      <c r="D87" s="349" t="s">
        <v>622</v>
      </c>
      <c r="E87" s="350" t="s">
        <v>626</v>
      </c>
      <c r="F87" s="351" t="s">
        <v>641</v>
      </c>
      <c r="G87" s="352" t="s">
        <v>433</v>
      </c>
      <c r="H87" s="350" t="s">
        <v>624</v>
      </c>
      <c r="I87" s="350" t="s">
        <v>616</v>
      </c>
      <c r="J87" s="350" t="s">
        <v>28</v>
      </c>
      <c r="K87" s="352" t="s">
        <v>645</v>
      </c>
      <c r="L87" s="350" t="s">
        <v>1223</v>
      </c>
    </row>
  </sheetData>
  <mergeCells count="44">
    <mergeCell ref="C84:C85"/>
    <mergeCell ref="C16:C17"/>
    <mergeCell ref="C20:C21"/>
    <mergeCell ref="C26:C27"/>
    <mergeCell ref="C32:C33"/>
    <mergeCell ref="C34:C35"/>
    <mergeCell ref="C36:C37"/>
    <mergeCell ref="C66:C67"/>
    <mergeCell ref="C68:C69"/>
    <mergeCell ref="C70:C71"/>
    <mergeCell ref="C72:C73"/>
    <mergeCell ref="C40:C41"/>
    <mergeCell ref="C80:C81"/>
    <mergeCell ref="C50:C51"/>
    <mergeCell ref="C18:C19"/>
    <mergeCell ref="B2:L2"/>
    <mergeCell ref="C8:C9"/>
    <mergeCell ref="C10:C11"/>
    <mergeCell ref="C12:C13"/>
    <mergeCell ref="C4:C7"/>
    <mergeCell ref="C28:C29"/>
    <mergeCell ref="C78:C79"/>
    <mergeCell ref="C42:C43"/>
    <mergeCell ref="C76:C77"/>
    <mergeCell ref="C30:C31"/>
    <mergeCell ref="C74:C75"/>
    <mergeCell ref="C38:C39"/>
    <mergeCell ref="C62:C63"/>
    <mergeCell ref="C86:C87"/>
    <mergeCell ref="C14:C15"/>
    <mergeCell ref="C48:C49"/>
    <mergeCell ref="B4:B55"/>
    <mergeCell ref="C52:C53"/>
    <mergeCell ref="C54:C55"/>
    <mergeCell ref="C22:C23"/>
    <mergeCell ref="B66:B81"/>
    <mergeCell ref="B56:B65"/>
    <mergeCell ref="C24:C25"/>
    <mergeCell ref="C44:C45"/>
    <mergeCell ref="C46:C47"/>
    <mergeCell ref="C58:C59"/>
    <mergeCell ref="C64:C65"/>
    <mergeCell ref="C60:C61"/>
    <mergeCell ref="C56:C57"/>
  </mergeCells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591B-3736-465F-9ABC-15405659827C}">
  <dimension ref="B2:V80"/>
  <sheetViews>
    <sheetView zoomScale="77" zoomScaleNormal="77" workbookViewId="0">
      <selection activeCell="G24" sqref="G24"/>
    </sheetView>
  </sheetViews>
  <sheetFormatPr baseColWidth="10" defaultColWidth="10.83203125" defaultRowHeight="15" x14ac:dyDescent="0.2"/>
  <cols>
    <col min="1" max="1" width="5.1640625" customWidth="1"/>
    <col min="2" max="2" width="7.1640625" bestFit="1" customWidth="1"/>
    <col min="3" max="3" width="14.5" bestFit="1" customWidth="1"/>
    <col min="4" max="4" width="14.33203125" bestFit="1" customWidth="1"/>
    <col min="5" max="5" width="5" bestFit="1" customWidth="1"/>
    <col min="6" max="6" width="17" bestFit="1" customWidth="1"/>
    <col min="7" max="7" width="13" customWidth="1"/>
    <col min="8" max="8" width="12.33203125" customWidth="1"/>
    <col min="9" max="9" width="15.6640625" customWidth="1"/>
    <col min="10" max="10" width="16.1640625" customWidth="1"/>
    <col min="11" max="11" width="23.83203125" customWidth="1"/>
    <col min="12" max="12" width="17.83203125" customWidth="1"/>
    <col min="13" max="13" width="11.5" customWidth="1"/>
    <col min="14" max="14" width="14.83203125" customWidth="1"/>
    <col min="15" max="15" width="17" customWidth="1"/>
    <col min="16" max="16" width="66.83203125" bestFit="1" customWidth="1"/>
    <col min="20" max="20" width="27.6640625" bestFit="1" customWidth="1"/>
  </cols>
  <sheetData>
    <row r="2" spans="2:20" s="132" customFormat="1" ht="47.25" customHeight="1" x14ac:dyDescent="0.2">
      <c r="B2" s="131" t="s">
        <v>199</v>
      </c>
      <c r="C2" s="131" t="s">
        <v>407</v>
      </c>
      <c r="D2" s="131" t="s">
        <v>20</v>
      </c>
      <c r="E2" s="131" t="s">
        <v>1</v>
      </c>
      <c r="F2" s="131" t="s">
        <v>388</v>
      </c>
      <c r="G2" s="131" t="s">
        <v>651</v>
      </c>
      <c r="H2" s="131" t="s">
        <v>483</v>
      </c>
      <c r="I2" s="131" t="s">
        <v>484</v>
      </c>
      <c r="J2" s="131" t="s">
        <v>485</v>
      </c>
      <c r="K2" s="131" t="s">
        <v>578</v>
      </c>
      <c r="L2" s="131" t="s">
        <v>574</v>
      </c>
      <c r="M2" s="131" t="s">
        <v>576</v>
      </c>
      <c r="N2" s="131" t="s">
        <v>577</v>
      </c>
      <c r="O2" s="131" t="s">
        <v>749</v>
      </c>
      <c r="P2" s="223" t="s">
        <v>847</v>
      </c>
      <c r="Q2" s="109" t="s">
        <v>468</v>
      </c>
      <c r="R2"/>
    </row>
    <row r="3" spans="2:20" x14ac:dyDescent="0.2">
      <c r="B3" s="417" t="s">
        <v>200</v>
      </c>
      <c r="C3" s="405" t="s">
        <v>408</v>
      </c>
      <c r="D3" s="111" t="s">
        <v>551</v>
      </c>
      <c r="E3" s="130" t="s">
        <v>434</v>
      </c>
      <c r="F3" s="112" t="s">
        <v>436</v>
      </c>
      <c r="G3" s="285" t="s">
        <v>486</v>
      </c>
      <c r="H3" s="285" t="s">
        <v>486</v>
      </c>
      <c r="I3" s="285" t="s">
        <v>486</v>
      </c>
      <c r="J3" s="285" t="s">
        <v>486</v>
      </c>
      <c r="K3" s="286" t="s">
        <v>710</v>
      </c>
      <c r="L3" s="286" t="s">
        <v>575</v>
      </c>
      <c r="M3" s="286" t="s">
        <v>486</v>
      </c>
      <c r="N3" s="286" t="s">
        <v>486</v>
      </c>
      <c r="O3" s="286" t="s">
        <v>486</v>
      </c>
      <c r="P3" s="192"/>
      <c r="Q3" s="245"/>
      <c r="R3" s="246" t="s">
        <v>953</v>
      </c>
      <c r="T3" s="258" t="s">
        <v>956</v>
      </c>
    </row>
    <row r="4" spans="2:20" x14ac:dyDescent="0.2">
      <c r="B4" s="418"/>
      <c r="C4" s="406"/>
      <c r="D4" s="111" t="s">
        <v>552</v>
      </c>
      <c r="E4" s="130" t="s">
        <v>435</v>
      </c>
      <c r="F4" s="112" t="s">
        <v>437</v>
      </c>
      <c r="G4" s="285" t="s">
        <v>486</v>
      </c>
      <c r="H4" s="285" t="s">
        <v>486</v>
      </c>
      <c r="I4" s="285" t="s">
        <v>486</v>
      </c>
      <c r="J4" s="285" t="s">
        <v>486</v>
      </c>
      <c r="K4" s="286" t="s">
        <v>710</v>
      </c>
      <c r="L4" s="286" t="s">
        <v>575</v>
      </c>
      <c r="M4" s="286" t="s">
        <v>486</v>
      </c>
      <c r="N4" s="286" t="s">
        <v>486</v>
      </c>
      <c r="O4" s="286" t="s">
        <v>486</v>
      </c>
      <c r="P4" s="192" t="s">
        <v>848</v>
      </c>
      <c r="Q4" s="245"/>
      <c r="R4" s="246" t="s">
        <v>953</v>
      </c>
      <c r="T4" s="259" t="s">
        <v>957</v>
      </c>
    </row>
    <row r="5" spans="2:20" x14ac:dyDescent="0.2">
      <c r="B5" s="418"/>
      <c r="C5" s="406"/>
      <c r="D5" s="287" t="s">
        <v>393</v>
      </c>
      <c r="E5" s="288" t="s">
        <v>392</v>
      </c>
      <c r="F5" s="289" t="s">
        <v>351</v>
      </c>
      <c r="G5" s="285" t="s">
        <v>486</v>
      </c>
      <c r="H5" s="285" t="s">
        <v>486</v>
      </c>
      <c r="I5" s="285" t="s">
        <v>486</v>
      </c>
      <c r="J5" s="285" t="s">
        <v>486</v>
      </c>
      <c r="K5" s="286" t="s">
        <v>710</v>
      </c>
      <c r="L5" s="286" t="s">
        <v>575</v>
      </c>
      <c r="M5" s="290" t="s">
        <v>486</v>
      </c>
      <c r="N5" s="290" t="s">
        <v>486</v>
      </c>
      <c r="O5" s="290" t="s">
        <v>486</v>
      </c>
      <c r="P5" s="192" t="s">
        <v>849</v>
      </c>
      <c r="Q5" s="247"/>
      <c r="R5" s="248" t="s">
        <v>954</v>
      </c>
      <c r="T5" s="260" t="s">
        <v>958</v>
      </c>
    </row>
    <row r="6" spans="2:20" x14ac:dyDescent="0.2">
      <c r="B6" s="418"/>
      <c r="C6" s="407"/>
      <c r="D6" s="287" t="s">
        <v>391</v>
      </c>
      <c r="E6" s="288" t="s">
        <v>394</v>
      </c>
      <c r="F6" s="289" t="s">
        <v>352</v>
      </c>
      <c r="G6" s="285" t="s">
        <v>486</v>
      </c>
      <c r="H6" s="285" t="s">
        <v>486</v>
      </c>
      <c r="I6" s="285" t="s">
        <v>486</v>
      </c>
      <c r="J6" s="285" t="s">
        <v>486</v>
      </c>
      <c r="K6" s="286" t="s">
        <v>710</v>
      </c>
      <c r="L6" s="286" t="s">
        <v>575</v>
      </c>
      <c r="M6" s="290" t="s">
        <v>486</v>
      </c>
      <c r="N6" s="290" t="s">
        <v>486</v>
      </c>
      <c r="O6" s="290" t="s">
        <v>486</v>
      </c>
      <c r="P6" s="192" t="s">
        <v>850</v>
      </c>
      <c r="Q6" s="247"/>
      <c r="R6" s="248" t="s">
        <v>954</v>
      </c>
      <c r="T6" s="261" t="s">
        <v>959</v>
      </c>
    </row>
    <row r="7" spans="2:20" x14ac:dyDescent="0.2">
      <c r="B7" s="418"/>
      <c r="C7" s="408" t="s">
        <v>409</v>
      </c>
      <c r="D7" s="292" t="s">
        <v>396</v>
      </c>
      <c r="E7" s="291" t="s">
        <v>469</v>
      </c>
      <c r="F7" s="293" t="s">
        <v>353</v>
      </c>
      <c r="G7" s="291" t="s">
        <v>486</v>
      </c>
      <c r="H7" s="291" t="s">
        <v>486</v>
      </c>
      <c r="I7" s="291" t="s">
        <v>486</v>
      </c>
      <c r="J7" s="291" t="s">
        <v>486</v>
      </c>
      <c r="K7" s="294" t="s">
        <v>710</v>
      </c>
      <c r="L7" s="294" t="s">
        <v>575</v>
      </c>
      <c r="M7" s="295" t="s">
        <v>486</v>
      </c>
      <c r="N7" s="295" t="s">
        <v>486</v>
      </c>
      <c r="O7" s="295" t="s">
        <v>486</v>
      </c>
      <c r="P7" s="193" t="s">
        <v>851</v>
      </c>
      <c r="Q7" s="247"/>
      <c r="R7" s="248" t="s">
        <v>954</v>
      </c>
      <c r="T7" s="262" t="s">
        <v>960</v>
      </c>
    </row>
    <row r="8" spans="2:20" x14ac:dyDescent="0.2">
      <c r="B8" s="418"/>
      <c r="C8" s="408"/>
      <c r="D8" s="292" t="s">
        <v>395</v>
      </c>
      <c r="E8" s="291" t="s">
        <v>470</v>
      </c>
      <c r="F8" s="293" t="s">
        <v>354</v>
      </c>
      <c r="G8" s="291" t="s">
        <v>486</v>
      </c>
      <c r="H8" s="291" t="s">
        <v>486</v>
      </c>
      <c r="I8" s="291" t="s">
        <v>486</v>
      </c>
      <c r="J8" s="291" t="s">
        <v>486</v>
      </c>
      <c r="K8" s="294" t="s">
        <v>710</v>
      </c>
      <c r="L8" s="294" t="s">
        <v>575</v>
      </c>
      <c r="M8" s="295" t="s">
        <v>486</v>
      </c>
      <c r="N8" s="295" t="s">
        <v>486</v>
      </c>
      <c r="O8" s="295" t="s">
        <v>486</v>
      </c>
      <c r="P8" s="193" t="s">
        <v>852</v>
      </c>
      <c r="Q8" s="247"/>
      <c r="R8" s="248" t="s">
        <v>954</v>
      </c>
    </row>
    <row r="9" spans="2:20" ht="16" x14ac:dyDescent="0.2">
      <c r="B9" s="418"/>
      <c r="C9" s="404" t="s">
        <v>410</v>
      </c>
      <c r="D9" s="287" t="s">
        <v>398</v>
      </c>
      <c r="E9" s="288" t="s">
        <v>471</v>
      </c>
      <c r="F9" s="289" t="s">
        <v>369</v>
      </c>
      <c r="G9" s="288" t="s">
        <v>486</v>
      </c>
      <c r="H9" s="288" t="s">
        <v>486</v>
      </c>
      <c r="I9" s="288" t="s">
        <v>486</v>
      </c>
      <c r="J9" s="288" t="s">
        <v>486</v>
      </c>
      <c r="K9" s="296" t="s">
        <v>711</v>
      </c>
      <c r="L9" s="286" t="s">
        <v>575</v>
      </c>
      <c r="M9" s="286" t="s">
        <v>486</v>
      </c>
      <c r="N9" s="286" t="s">
        <v>486</v>
      </c>
      <c r="O9" s="286" t="s">
        <v>486</v>
      </c>
      <c r="P9" s="192" t="s">
        <v>853</v>
      </c>
      <c r="Q9" s="249"/>
      <c r="R9" s="248" t="s">
        <v>954</v>
      </c>
    </row>
    <row r="10" spans="2:20" ht="16" x14ac:dyDescent="0.2">
      <c r="B10" s="418"/>
      <c r="C10" s="404"/>
      <c r="D10" s="287" t="s">
        <v>397</v>
      </c>
      <c r="E10" s="288" t="s">
        <v>472</v>
      </c>
      <c r="F10" s="289" t="s">
        <v>370</v>
      </c>
      <c r="G10" s="288" t="s">
        <v>486</v>
      </c>
      <c r="H10" s="288" t="s">
        <v>486</v>
      </c>
      <c r="I10" s="288" t="s">
        <v>486</v>
      </c>
      <c r="J10" s="288" t="s">
        <v>486</v>
      </c>
      <c r="K10" s="296" t="s">
        <v>711</v>
      </c>
      <c r="L10" s="286" t="s">
        <v>575</v>
      </c>
      <c r="M10" s="286" t="s">
        <v>486</v>
      </c>
      <c r="N10" s="286" t="s">
        <v>486</v>
      </c>
      <c r="O10" s="286" t="s">
        <v>486</v>
      </c>
      <c r="P10" s="192" t="s">
        <v>854</v>
      </c>
      <c r="Q10" s="249"/>
      <c r="R10" s="248" t="s">
        <v>954</v>
      </c>
    </row>
    <row r="11" spans="2:20" x14ac:dyDescent="0.2">
      <c r="B11" s="418"/>
      <c r="C11" s="408" t="s">
        <v>411</v>
      </c>
      <c r="D11" s="292" t="s">
        <v>400</v>
      </c>
      <c r="E11" s="291" t="s">
        <v>473</v>
      </c>
      <c r="F11" s="293" t="s">
        <v>374</v>
      </c>
      <c r="G11" s="297" t="s">
        <v>486</v>
      </c>
      <c r="H11" s="297" t="s">
        <v>486</v>
      </c>
      <c r="I11" s="297" t="s">
        <v>486</v>
      </c>
      <c r="J11" s="297" t="s">
        <v>486</v>
      </c>
      <c r="K11" s="294" t="s">
        <v>710</v>
      </c>
      <c r="L11" s="294" t="s">
        <v>575</v>
      </c>
      <c r="M11" s="294" t="s">
        <v>486</v>
      </c>
      <c r="N11" s="294" t="s">
        <v>486</v>
      </c>
      <c r="O11" s="294" t="s">
        <v>486</v>
      </c>
      <c r="P11" s="193" t="s">
        <v>855</v>
      </c>
      <c r="Q11" s="247"/>
      <c r="R11" s="248" t="s">
        <v>954</v>
      </c>
    </row>
    <row r="12" spans="2:20" x14ac:dyDescent="0.2">
      <c r="B12" s="418"/>
      <c r="C12" s="408"/>
      <c r="D12" s="292" t="s">
        <v>399</v>
      </c>
      <c r="E12" s="291" t="s">
        <v>474</v>
      </c>
      <c r="F12" s="293" t="s">
        <v>373</v>
      </c>
      <c r="G12" s="297" t="s">
        <v>486</v>
      </c>
      <c r="H12" s="297" t="s">
        <v>486</v>
      </c>
      <c r="I12" s="297" t="s">
        <v>486</v>
      </c>
      <c r="J12" s="297" t="s">
        <v>486</v>
      </c>
      <c r="K12" s="294" t="s">
        <v>710</v>
      </c>
      <c r="L12" s="294" t="s">
        <v>575</v>
      </c>
      <c r="M12" s="294" t="s">
        <v>486</v>
      </c>
      <c r="N12" s="294" t="s">
        <v>486</v>
      </c>
      <c r="O12" s="294" t="s">
        <v>486</v>
      </c>
      <c r="P12" s="193" t="s">
        <v>856</v>
      </c>
      <c r="Q12" s="247"/>
      <c r="R12" s="248" t="s">
        <v>954</v>
      </c>
    </row>
    <row r="13" spans="2:20" ht="16" x14ac:dyDescent="0.2">
      <c r="B13" s="418"/>
      <c r="C13" s="404" t="s">
        <v>412</v>
      </c>
      <c r="D13" s="287" t="s">
        <v>402</v>
      </c>
      <c r="E13" s="288" t="s">
        <v>475</v>
      </c>
      <c r="F13" s="289" t="s">
        <v>357</v>
      </c>
      <c r="G13" s="288" t="s">
        <v>486</v>
      </c>
      <c r="H13" s="288" t="s">
        <v>486</v>
      </c>
      <c r="I13" s="288" t="s">
        <v>486</v>
      </c>
      <c r="J13" s="288" t="s">
        <v>486</v>
      </c>
      <c r="K13" s="296" t="s">
        <v>710</v>
      </c>
      <c r="L13" s="286" t="s">
        <v>575</v>
      </c>
      <c r="M13" s="286" t="s">
        <v>486</v>
      </c>
      <c r="N13" s="286" t="s">
        <v>486</v>
      </c>
      <c r="O13" s="286" t="s">
        <v>486</v>
      </c>
      <c r="P13" s="192" t="s">
        <v>857</v>
      </c>
      <c r="Q13" s="247"/>
      <c r="R13" s="248" t="s">
        <v>954</v>
      </c>
    </row>
    <row r="14" spans="2:20" ht="16" x14ac:dyDescent="0.2">
      <c r="B14" s="418"/>
      <c r="C14" s="404"/>
      <c r="D14" s="287" t="s">
        <v>401</v>
      </c>
      <c r="E14" s="288" t="s">
        <v>476</v>
      </c>
      <c r="F14" s="289" t="s">
        <v>358</v>
      </c>
      <c r="G14" s="288" t="s">
        <v>486</v>
      </c>
      <c r="H14" s="288" t="s">
        <v>486</v>
      </c>
      <c r="I14" s="288" t="s">
        <v>486</v>
      </c>
      <c r="J14" s="288" t="s">
        <v>486</v>
      </c>
      <c r="K14" s="296" t="s">
        <v>710</v>
      </c>
      <c r="L14" s="286" t="s">
        <v>575</v>
      </c>
      <c r="M14" s="286" t="s">
        <v>486</v>
      </c>
      <c r="N14" s="286" t="s">
        <v>486</v>
      </c>
      <c r="O14" s="286" t="s">
        <v>486</v>
      </c>
      <c r="P14" s="192" t="s">
        <v>858</v>
      </c>
      <c r="Q14" s="247"/>
      <c r="R14" s="248" t="s">
        <v>954</v>
      </c>
    </row>
    <row r="15" spans="2:20" x14ac:dyDescent="0.2">
      <c r="B15" s="418"/>
      <c r="C15" s="408" t="s">
        <v>414</v>
      </c>
      <c r="D15" s="292" t="s">
        <v>406</v>
      </c>
      <c r="E15" s="291" t="s">
        <v>477</v>
      </c>
      <c r="F15" s="293" t="s">
        <v>421</v>
      </c>
      <c r="G15" s="297" t="s">
        <v>486</v>
      </c>
      <c r="H15" s="297" t="s">
        <v>486</v>
      </c>
      <c r="I15" s="297" t="s">
        <v>486</v>
      </c>
      <c r="J15" s="297" t="s">
        <v>486</v>
      </c>
      <c r="K15" s="294" t="s">
        <v>710</v>
      </c>
      <c r="L15" s="294" t="s">
        <v>575</v>
      </c>
      <c r="M15" s="294" t="s">
        <v>486</v>
      </c>
      <c r="N15" s="294" t="s">
        <v>486</v>
      </c>
      <c r="O15" s="294" t="s">
        <v>486</v>
      </c>
      <c r="P15" s="192"/>
      <c r="Q15" s="245"/>
      <c r="R15" s="248" t="s">
        <v>954</v>
      </c>
    </row>
    <row r="16" spans="2:20" x14ac:dyDescent="0.2">
      <c r="B16" s="418"/>
      <c r="C16" s="408"/>
      <c r="D16" s="292" t="s">
        <v>405</v>
      </c>
      <c r="E16" s="291" t="s">
        <v>478</v>
      </c>
      <c r="F16" s="293" t="s">
        <v>418</v>
      </c>
      <c r="G16" s="297" t="s">
        <v>486</v>
      </c>
      <c r="H16" s="297" t="s">
        <v>486</v>
      </c>
      <c r="I16" s="297" t="s">
        <v>486</v>
      </c>
      <c r="J16" s="297" t="s">
        <v>486</v>
      </c>
      <c r="K16" s="294" t="s">
        <v>710</v>
      </c>
      <c r="L16" s="294" t="s">
        <v>575</v>
      </c>
      <c r="M16" s="294" t="s">
        <v>486</v>
      </c>
      <c r="N16" s="294" t="s">
        <v>486</v>
      </c>
      <c r="O16" s="294" t="s">
        <v>486</v>
      </c>
      <c r="P16" s="192" t="s">
        <v>859</v>
      </c>
      <c r="Q16" s="245"/>
      <c r="R16" s="248" t="s">
        <v>954</v>
      </c>
    </row>
    <row r="17" spans="2:22" ht="16" x14ac:dyDescent="0.2">
      <c r="B17" s="418"/>
      <c r="C17" s="404" t="s">
        <v>487</v>
      </c>
      <c r="D17" s="287" t="s">
        <v>492</v>
      </c>
      <c r="E17" s="288" t="s">
        <v>488</v>
      </c>
      <c r="F17" s="289" t="s">
        <v>490</v>
      </c>
      <c r="G17" s="288" t="s">
        <v>486</v>
      </c>
      <c r="H17" s="288" t="s">
        <v>486</v>
      </c>
      <c r="I17" s="288" t="s">
        <v>486</v>
      </c>
      <c r="J17" s="288" t="s">
        <v>486</v>
      </c>
      <c r="K17" s="296" t="s">
        <v>710</v>
      </c>
      <c r="L17" s="286" t="s">
        <v>575</v>
      </c>
      <c r="M17" s="286" t="s">
        <v>486</v>
      </c>
      <c r="N17" s="286" t="s">
        <v>486</v>
      </c>
      <c r="O17" s="286" t="s">
        <v>486</v>
      </c>
      <c r="P17" s="193" t="s">
        <v>860</v>
      </c>
      <c r="Q17" s="247"/>
      <c r="R17" s="248" t="s">
        <v>954</v>
      </c>
    </row>
    <row r="18" spans="2:22" ht="16" x14ac:dyDescent="0.2">
      <c r="B18" s="418"/>
      <c r="C18" s="404"/>
      <c r="D18" s="287" t="s">
        <v>493</v>
      </c>
      <c r="E18" s="288" t="s">
        <v>489</v>
      </c>
      <c r="F18" s="289" t="s">
        <v>495</v>
      </c>
      <c r="G18" s="288" t="s">
        <v>486</v>
      </c>
      <c r="H18" s="288" t="s">
        <v>486</v>
      </c>
      <c r="I18" s="288" t="s">
        <v>486</v>
      </c>
      <c r="J18" s="288" t="s">
        <v>486</v>
      </c>
      <c r="K18" s="296" t="s">
        <v>710</v>
      </c>
      <c r="L18" s="286" t="s">
        <v>575</v>
      </c>
      <c r="M18" s="286" t="s">
        <v>486</v>
      </c>
      <c r="N18" s="286" t="s">
        <v>486</v>
      </c>
      <c r="O18" s="286" t="s">
        <v>486</v>
      </c>
      <c r="P18" s="193" t="s">
        <v>861</v>
      </c>
      <c r="Q18" s="247"/>
      <c r="R18" s="248" t="s">
        <v>954</v>
      </c>
    </row>
    <row r="19" spans="2:22" x14ac:dyDescent="0.2">
      <c r="B19" s="418"/>
      <c r="C19" s="408" t="s">
        <v>502</v>
      </c>
      <c r="D19" s="292" t="s">
        <v>503</v>
      </c>
      <c r="E19" s="291" t="s">
        <v>505</v>
      </c>
      <c r="F19" s="293" t="s">
        <v>506</v>
      </c>
      <c r="G19" s="297" t="s">
        <v>486</v>
      </c>
      <c r="H19" s="297" t="s">
        <v>486</v>
      </c>
      <c r="I19" s="297" t="s">
        <v>486</v>
      </c>
      <c r="J19" s="297" t="s">
        <v>486</v>
      </c>
      <c r="K19" s="294" t="s">
        <v>710</v>
      </c>
      <c r="L19" s="294" t="s">
        <v>575</v>
      </c>
      <c r="M19" s="294" t="s">
        <v>486</v>
      </c>
      <c r="N19" s="294" t="s">
        <v>486</v>
      </c>
      <c r="O19" s="294" t="s">
        <v>486</v>
      </c>
      <c r="P19" s="192" t="s">
        <v>862</v>
      </c>
      <c r="Q19" s="247"/>
      <c r="R19" s="248" t="s">
        <v>954</v>
      </c>
    </row>
    <row r="20" spans="2:22" x14ac:dyDescent="0.2">
      <c r="B20" s="418"/>
      <c r="C20" s="408"/>
      <c r="D20" s="292" t="s">
        <v>504</v>
      </c>
      <c r="E20" s="291" t="s">
        <v>507</v>
      </c>
      <c r="F20" s="293" t="s">
        <v>508</v>
      </c>
      <c r="G20" s="297" t="s">
        <v>486</v>
      </c>
      <c r="H20" s="297" t="s">
        <v>486</v>
      </c>
      <c r="I20" s="297" t="s">
        <v>486</v>
      </c>
      <c r="J20" s="297" t="s">
        <v>486</v>
      </c>
      <c r="K20" s="294" t="s">
        <v>710</v>
      </c>
      <c r="L20" s="294" t="s">
        <v>575</v>
      </c>
      <c r="M20" s="294" t="s">
        <v>486</v>
      </c>
      <c r="N20" s="294" t="s">
        <v>486</v>
      </c>
      <c r="O20" s="294" t="s">
        <v>486</v>
      </c>
      <c r="P20" s="192" t="s">
        <v>863</v>
      </c>
      <c r="Q20" s="247"/>
      <c r="R20" s="248" t="s">
        <v>954</v>
      </c>
    </row>
    <row r="21" spans="2:22" ht="16" x14ac:dyDescent="0.2">
      <c r="B21" s="418"/>
      <c r="C21" s="404" t="s">
        <v>550</v>
      </c>
      <c r="D21" s="287" t="s">
        <v>553</v>
      </c>
      <c r="E21" s="288" t="s">
        <v>555</v>
      </c>
      <c r="F21" s="289" t="s">
        <v>557</v>
      </c>
      <c r="G21" s="288" t="s">
        <v>486</v>
      </c>
      <c r="H21" s="288" t="s">
        <v>486</v>
      </c>
      <c r="I21" s="288" t="s">
        <v>486</v>
      </c>
      <c r="J21" s="288" t="s">
        <v>486</v>
      </c>
      <c r="K21" s="296" t="s">
        <v>710</v>
      </c>
      <c r="L21" s="286" t="s">
        <v>575</v>
      </c>
      <c r="M21" s="286" t="s">
        <v>486</v>
      </c>
      <c r="N21" s="286" t="s">
        <v>486</v>
      </c>
      <c r="O21" s="286" t="s">
        <v>486</v>
      </c>
      <c r="P21" s="193" t="s">
        <v>864</v>
      </c>
      <c r="Q21" s="247"/>
      <c r="R21" s="246" t="s">
        <v>953</v>
      </c>
    </row>
    <row r="22" spans="2:22" ht="16" x14ac:dyDescent="0.2">
      <c r="B22" s="418"/>
      <c r="C22" s="404"/>
      <c r="D22" s="287" t="s">
        <v>554</v>
      </c>
      <c r="E22" s="288" t="s">
        <v>556</v>
      </c>
      <c r="F22" s="289" t="s">
        <v>776</v>
      </c>
      <c r="G22" s="288" t="s">
        <v>486</v>
      </c>
      <c r="H22" s="288" t="s">
        <v>486</v>
      </c>
      <c r="I22" s="288" t="s">
        <v>486</v>
      </c>
      <c r="J22" s="288" t="s">
        <v>486</v>
      </c>
      <c r="K22" s="296" t="s">
        <v>710</v>
      </c>
      <c r="L22" s="286" t="s">
        <v>575</v>
      </c>
      <c r="M22" s="286" t="s">
        <v>486</v>
      </c>
      <c r="N22" s="286" t="s">
        <v>486</v>
      </c>
      <c r="O22" s="286" t="s">
        <v>486</v>
      </c>
      <c r="P22" s="193" t="s">
        <v>865</v>
      </c>
      <c r="Q22" s="247"/>
      <c r="R22" s="246" t="s">
        <v>953</v>
      </c>
    </row>
    <row r="23" spans="2:22" x14ac:dyDescent="0.2">
      <c r="B23" s="418"/>
      <c r="C23" s="408" t="s">
        <v>550</v>
      </c>
      <c r="D23" s="292" t="s">
        <v>627</v>
      </c>
      <c r="E23" s="291" t="s">
        <v>629</v>
      </c>
      <c r="F23" s="293" t="s">
        <v>631</v>
      </c>
      <c r="G23" s="297" t="s">
        <v>486</v>
      </c>
      <c r="H23" s="297" t="s">
        <v>486</v>
      </c>
      <c r="I23" s="297" t="s">
        <v>486</v>
      </c>
      <c r="J23" s="297" t="s">
        <v>486</v>
      </c>
      <c r="K23" s="294" t="s">
        <v>710</v>
      </c>
      <c r="L23" s="294" t="s">
        <v>575</v>
      </c>
      <c r="M23" s="294" t="s">
        <v>486</v>
      </c>
      <c r="N23" s="294" t="s">
        <v>486</v>
      </c>
      <c r="O23" s="294" t="s">
        <v>486</v>
      </c>
      <c r="P23" s="192"/>
      <c r="Q23" s="245"/>
      <c r="R23" s="248" t="s">
        <v>954</v>
      </c>
    </row>
    <row r="24" spans="2:22" ht="32" x14ac:dyDescent="0.2">
      <c r="B24" s="418"/>
      <c r="C24" s="408"/>
      <c r="D24" s="292" t="s">
        <v>628</v>
      </c>
      <c r="E24" s="291" t="s">
        <v>630</v>
      </c>
      <c r="F24" s="449" t="s">
        <v>1230</v>
      </c>
      <c r="G24" s="297" t="s">
        <v>486</v>
      </c>
      <c r="H24" s="297" t="s">
        <v>486</v>
      </c>
      <c r="I24" s="297" t="s">
        <v>486</v>
      </c>
      <c r="J24" s="297" t="s">
        <v>486</v>
      </c>
      <c r="K24" s="294" t="s">
        <v>710</v>
      </c>
      <c r="L24" s="294" t="s">
        <v>575</v>
      </c>
      <c r="M24" s="294" t="s">
        <v>486</v>
      </c>
      <c r="N24" s="294" t="s">
        <v>486</v>
      </c>
      <c r="O24" s="294" t="s">
        <v>486</v>
      </c>
      <c r="P24" s="192" t="s">
        <v>866</v>
      </c>
      <c r="Q24" s="245"/>
      <c r="R24" s="248" t="s">
        <v>954</v>
      </c>
    </row>
    <row r="25" spans="2:22" ht="16" x14ac:dyDescent="0.2">
      <c r="B25" s="418"/>
      <c r="C25" s="404" t="s">
        <v>589</v>
      </c>
      <c r="D25" s="287" t="s">
        <v>544</v>
      </c>
      <c r="E25" s="288" t="s">
        <v>590</v>
      </c>
      <c r="F25" s="289" t="s">
        <v>592</v>
      </c>
      <c r="G25" s="288" t="s">
        <v>486</v>
      </c>
      <c r="H25" s="288" t="s">
        <v>486</v>
      </c>
      <c r="I25" s="288" t="s">
        <v>486</v>
      </c>
      <c r="J25" s="288" t="s">
        <v>486</v>
      </c>
      <c r="K25" s="296" t="s">
        <v>710</v>
      </c>
      <c r="L25" s="286" t="s">
        <v>575</v>
      </c>
      <c r="M25" s="286" t="s">
        <v>486</v>
      </c>
      <c r="N25" s="286" t="s">
        <v>486</v>
      </c>
      <c r="O25" s="286" t="s">
        <v>486</v>
      </c>
      <c r="P25" s="193" t="s">
        <v>867</v>
      </c>
      <c r="Q25" s="247"/>
      <c r="R25" s="248" t="s">
        <v>954</v>
      </c>
    </row>
    <row r="26" spans="2:22" ht="16" x14ac:dyDescent="0.2">
      <c r="B26" s="418"/>
      <c r="C26" s="404"/>
      <c r="D26" s="287" t="s">
        <v>545</v>
      </c>
      <c r="E26" s="288" t="s">
        <v>591</v>
      </c>
      <c r="F26" s="289" t="s">
        <v>593</v>
      </c>
      <c r="G26" s="288" t="s">
        <v>486</v>
      </c>
      <c r="H26" s="288" t="s">
        <v>486</v>
      </c>
      <c r="I26" s="288" t="s">
        <v>486</v>
      </c>
      <c r="J26" s="288" t="s">
        <v>486</v>
      </c>
      <c r="K26" s="296" t="s">
        <v>710</v>
      </c>
      <c r="L26" s="286" t="s">
        <v>575</v>
      </c>
      <c r="M26" s="286" t="s">
        <v>486</v>
      </c>
      <c r="N26" s="286" t="s">
        <v>486</v>
      </c>
      <c r="O26" s="286" t="s">
        <v>486</v>
      </c>
      <c r="P26" s="193" t="s">
        <v>868</v>
      </c>
      <c r="Q26" s="247"/>
      <c r="R26" s="248" t="s">
        <v>954</v>
      </c>
    </row>
    <row r="27" spans="2:22" x14ac:dyDescent="0.2">
      <c r="B27" s="418"/>
      <c r="C27" s="408" t="s">
        <v>680</v>
      </c>
      <c r="D27" s="292" t="s">
        <v>678</v>
      </c>
      <c r="E27" s="291" t="s">
        <v>181</v>
      </c>
      <c r="F27" s="293" t="s">
        <v>675</v>
      </c>
      <c r="G27" s="297" t="s">
        <v>486</v>
      </c>
      <c r="H27" s="297" t="s">
        <v>486</v>
      </c>
      <c r="I27" s="297" t="s">
        <v>486</v>
      </c>
      <c r="J27" s="297" t="s">
        <v>486</v>
      </c>
      <c r="K27" s="294" t="s">
        <v>710</v>
      </c>
      <c r="L27" s="294" t="s">
        <v>575</v>
      </c>
      <c r="M27" s="294" t="s">
        <v>486</v>
      </c>
      <c r="N27" s="294" t="s">
        <v>486</v>
      </c>
      <c r="O27" s="294" t="s">
        <v>486</v>
      </c>
      <c r="P27" s="192" t="s">
        <v>869</v>
      </c>
      <c r="Q27" s="245"/>
      <c r="R27" s="248" t="s">
        <v>954</v>
      </c>
    </row>
    <row r="28" spans="2:22" x14ac:dyDescent="0.2">
      <c r="B28" s="418"/>
      <c r="C28" s="408"/>
      <c r="D28" s="292" t="s">
        <v>679</v>
      </c>
      <c r="E28" s="291" t="s">
        <v>677</v>
      </c>
      <c r="F28" s="293" t="s">
        <v>676</v>
      </c>
      <c r="G28" s="297" t="s">
        <v>486</v>
      </c>
      <c r="H28" s="297" t="s">
        <v>486</v>
      </c>
      <c r="I28" s="297" t="s">
        <v>486</v>
      </c>
      <c r="J28" s="297" t="s">
        <v>486</v>
      </c>
      <c r="K28" s="294" t="s">
        <v>710</v>
      </c>
      <c r="L28" s="294" t="s">
        <v>575</v>
      </c>
      <c r="M28" s="294" t="s">
        <v>486</v>
      </c>
      <c r="N28" s="294" t="s">
        <v>486</v>
      </c>
      <c r="O28" s="294" t="s">
        <v>486</v>
      </c>
      <c r="P28" s="192" t="s">
        <v>870</v>
      </c>
      <c r="Q28" s="245"/>
      <c r="R28" s="248" t="s">
        <v>954</v>
      </c>
    </row>
    <row r="29" spans="2:22" ht="16" x14ac:dyDescent="0.2">
      <c r="B29" s="418"/>
      <c r="C29" s="404" t="s">
        <v>698</v>
      </c>
      <c r="D29" s="287" t="s">
        <v>699</v>
      </c>
      <c r="E29" s="288" t="s">
        <v>168</v>
      </c>
      <c r="F29" s="289" t="s">
        <v>704</v>
      </c>
      <c r="G29" s="288" t="s">
        <v>486</v>
      </c>
      <c r="H29" s="288" t="s">
        <v>486</v>
      </c>
      <c r="I29" s="288" t="s">
        <v>486</v>
      </c>
      <c r="J29" s="288" t="s">
        <v>486</v>
      </c>
      <c r="K29" s="296" t="s">
        <v>710</v>
      </c>
      <c r="L29" s="286" t="s">
        <v>575</v>
      </c>
      <c r="M29" s="286" t="s">
        <v>486</v>
      </c>
      <c r="N29" s="286" t="s">
        <v>486</v>
      </c>
      <c r="O29" s="286" t="s">
        <v>486</v>
      </c>
      <c r="P29" s="193" t="s">
        <v>871</v>
      </c>
      <c r="Q29" s="247"/>
      <c r="R29" s="248" t="s">
        <v>954</v>
      </c>
      <c r="V29" s="103"/>
    </row>
    <row r="30" spans="2:22" ht="16" x14ac:dyDescent="0.2">
      <c r="B30" s="418"/>
      <c r="C30" s="404"/>
      <c r="D30" s="287" t="s">
        <v>700</v>
      </c>
      <c r="E30" s="288" t="s">
        <v>707</v>
      </c>
      <c r="F30" s="289" t="s">
        <v>777</v>
      </c>
      <c r="G30" s="288" t="s">
        <v>486</v>
      </c>
      <c r="H30" s="288" t="s">
        <v>486</v>
      </c>
      <c r="I30" s="288" t="s">
        <v>486</v>
      </c>
      <c r="J30" s="288" t="s">
        <v>486</v>
      </c>
      <c r="K30" s="296" t="s">
        <v>710</v>
      </c>
      <c r="L30" s="286" t="s">
        <v>575</v>
      </c>
      <c r="M30" s="286" t="s">
        <v>486</v>
      </c>
      <c r="N30" s="286" t="s">
        <v>486</v>
      </c>
      <c r="O30" s="286" t="s">
        <v>486</v>
      </c>
      <c r="P30" s="193" t="s">
        <v>872</v>
      </c>
      <c r="Q30" s="247"/>
      <c r="R30" s="248" t="s">
        <v>954</v>
      </c>
      <c r="V30" s="103"/>
    </row>
    <row r="31" spans="2:22" x14ac:dyDescent="0.2">
      <c r="B31" s="418"/>
      <c r="C31" s="408" t="s">
        <v>697</v>
      </c>
      <c r="D31" s="292" t="s">
        <v>701</v>
      </c>
      <c r="E31" s="291" t="s">
        <v>708</v>
      </c>
      <c r="F31" s="293" t="s">
        <v>705</v>
      </c>
      <c r="G31" s="297" t="s">
        <v>486</v>
      </c>
      <c r="H31" s="297" t="s">
        <v>486</v>
      </c>
      <c r="I31" s="297" t="s">
        <v>486</v>
      </c>
      <c r="J31" s="297" t="s">
        <v>486</v>
      </c>
      <c r="K31" s="294" t="s">
        <v>710</v>
      </c>
      <c r="L31" s="294" t="s">
        <v>575</v>
      </c>
      <c r="M31" s="294" t="s">
        <v>486</v>
      </c>
      <c r="N31" s="294" t="s">
        <v>486</v>
      </c>
      <c r="O31" s="294" t="s">
        <v>486</v>
      </c>
      <c r="P31" s="192" t="s">
        <v>873</v>
      </c>
      <c r="Q31" s="247"/>
      <c r="R31" s="248" t="s">
        <v>954</v>
      </c>
      <c r="V31" s="103"/>
    </row>
    <row r="32" spans="2:22" x14ac:dyDescent="0.2">
      <c r="B32" s="418"/>
      <c r="C32" s="408"/>
      <c r="D32" s="292" t="s">
        <v>702</v>
      </c>
      <c r="E32" s="291" t="s">
        <v>709</v>
      </c>
      <c r="F32" s="293" t="s">
        <v>706</v>
      </c>
      <c r="G32" s="297" t="s">
        <v>486</v>
      </c>
      <c r="H32" s="297" t="s">
        <v>486</v>
      </c>
      <c r="I32" s="297" t="s">
        <v>486</v>
      </c>
      <c r="J32" s="297" t="s">
        <v>486</v>
      </c>
      <c r="K32" s="294" t="s">
        <v>710</v>
      </c>
      <c r="L32" s="294" t="s">
        <v>575</v>
      </c>
      <c r="M32" s="294" t="s">
        <v>486</v>
      </c>
      <c r="N32" s="294" t="s">
        <v>486</v>
      </c>
      <c r="O32" s="294" t="s">
        <v>486</v>
      </c>
      <c r="P32" s="192" t="s">
        <v>874</v>
      </c>
      <c r="Q32" s="247"/>
      <c r="R32" s="248" t="s">
        <v>954</v>
      </c>
      <c r="V32" s="103"/>
    </row>
    <row r="33" spans="2:22" ht="16" x14ac:dyDescent="0.2">
      <c r="B33" s="418"/>
      <c r="C33" s="404" t="s">
        <v>819</v>
      </c>
      <c r="D33" s="287" t="s">
        <v>712</v>
      </c>
      <c r="E33" s="288" t="s">
        <v>714</v>
      </c>
      <c r="F33" s="289" t="s">
        <v>716</v>
      </c>
      <c r="G33" s="288" t="s">
        <v>486</v>
      </c>
      <c r="H33" s="288" t="s">
        <v>486</v>
      </c>
      <c r="I33" s="288" t="s">
        <v>486</v>
      </c>
      <c r="J33" s="288" t="s">
        <v>486</v>
      </c>
      <c r="K33" s="296" t="s">
        <v>710</v>
      </c>
      <c r="L33" s="286" t="s">
        <v>575</v>
      </c>
      <c r="M33" s="286" t="s">
        <v>486</v>
      </c>
      <c r="N33" s="286" t="s">
        <v>486</v>
      </c>
      <c r="O33" s="286" t="s">
        <v>486</v>
      </c>
      <c r="P33" s="194"/>
      <c r="Q33" s="245"/>
      <c r="R33" s="248" t="s">
        <v>954</v>
      </c>
      <c r="V33" s="103"/>
    </row>
    <row r="34" spans="2:22" ht="16" x14ac:dyDescent="0.2">
      <c r="B34" s="418"/>
      <c r="C34" s="404"/>
      <c r="D34" s="287" t="s">
        <v>713</v>
      </c>
      <c r="E34" s="288" t="s">
        <v>715</v>
      </c>
      <c r="F34" s="289" t="s">
        <v>717</v>
      </c>
      <c r="G34" s="288" t="s">
        <v>486</v>
      </c>
      <c r="H34" s="288" t="s">
        <v>486</v>
      </c>
      <c r="I34" s="288" t="s">
        <v>486</v>
      </c>
      <c r="J34" s="288" t="s">
        <v>486</v>
      </c>
      <c r="K34" s="296" t="s">
        <v>710</v>
      </c>
      <c r="L34" s="286" t="s">
        <v>575</v>
      </c>
      <c r="M34" s="286" t="s">
        <v>486</v>
      </c>
      <c r="N34" s="286" t="s">
        <v>486</v>
      </c>
      <c r="O34" s="286" t="s">
        <v>486</v>
      </c>
      <c r="P34" s="194" t="s">
        <v>875</v>
      </c>
      <c r="Q34" s="245"/>
      <c r="R34" s="248" t="s">
        <v>954</v>
      </c>
      <c r="V34" s="103"/>
    </row>
    <row r="35" spans="2:22" x14ac:dyDescent="0.2">
      <c r="B35" s="418"/>
      <c r="C35" s="408" t="s">
        <v>818</v>
      </c>
      <c r="D35" s="292" t="s">
        <v>718</v>
      </c>
      <c r="E35" s="291" t="s">
        <v>720</v>
      </c>
      <c r="F35" s="293" t="s">
        <v>722</v>
      </c>
      <c r="G35" s="297" t="s">
        <v>486</v>
      </c>
      <c r="H35" s="297" t="s">
        <v>486</v>
      </c>
      <c r="I35" s="297" t="s">
        <v>486</v>
      </c>
      <c r="J35" s="297" t="s">
        <v>486</v>
      </c>
      <c r="K35" s="294" t="s">
        <v>710</v>
      </c>
      <c r="L35" s="294" t="s">
        <v>575</v>
      </c>
      <c r="M35" s="294" t="s">
        <v>486</v>
      </c>
      <c r="N35" s="294" t="s">
        <v>486</v>
      </c>
      <c r="O35" s="294" t="s">
        <v>486</v>
      </c>
      <c r="P35" s="192"/>
      <c r="Q35" s="245"/>
      <c r="R35" s="248" t="s">
        <v>954</v>
      </c>
      <c r="V35" s="103"/>
    </row>
    <row r="36" spans="2:22" x14ac:dyDescent="0.2">
      <c r="B36" s="418"/>
      <c r="C36" s="408"/>
      <c r="D36" s="292" t="s">
        <v>719</v>
      </c>
      <c r="E36" s="291" t="s">
        <v>721</v>
      </c>
      <c r="F36" s="293" t="s">
        <v>723</v>
      </c>
      <c r="G36" s="297" t="s">
        <v>486</v>
      </c>
      <c r="H36" s="297" t="s">
        <v>486</v>
      </c>
      <c r="I36" s="297" t="s">
        <v>486</v>
      </c>
      <c r="J36" s="297" t="s">
        <v>486</v>
      </c>
      <c r="K36" s="294" t="s">
        <v>710</v>
      </c>
      <c r="L36" s="294" t="s">
        <v>575</v>
      </c>
      <c r="M36" s="294" t="s">
        <v>486</v>
      </c>
      <c r="N36" s="294" t="s">
        <v>486</v>
      </c>
      <c r="O36" s="294" t="s">
        <v>486</v>
      </c>
      <c r="P36" s="192" t="s">
        <v>876</v>
      </c>
      <c r="Q36" s="245"/>
      <c r="R36" s="248" t="s">
        <v>954</v>
      </c>
      <c r="V36" s="103"/>
    </row>
    <row r="37" spans="2:22" ht="16" x14ac:dyDescent="0.2">
      <c r="B37" s="418"/>
      <c r="C37" s="404" t="s">
        <v>820</v>
      </c>
      <c r="D37" s="287" t="s">
        <v>760</v>
      </c>
      <c r="E37" s="288" t="s">
        <v>766</v>
      </c>
      <c r="F37" s="289" t="s">
        <v>768</v>
      </c>
      <c r="G37" s="288" t="s">
        <v>486</v>
      </c>
      <c r="H37" s="288" t="s">
        <v>486</v>
      </c>
      <c r="I37" s="288" t="s">
        <v>486</v>
      </c>
      <c r="J37" s="288" t="s">
        <v>486</v>
      </c>
      <c r="K37" s="296" t="s">
        <v>710</v>
      </c>
      <c r="L37" s="286" t="s">
        <v>575</v>
      </c>
      <c r="M37" s="286" t="s">
        <v>486</v>
      </c>
      <c r="N37" s="286" t="s">
        <v>486</v>
      </c>
      <c r="O37" s="286" t="s">
        <v>486</v>
      </c>
      <c r="P37" s="22"/>
      <c r="Q37" s="245"/>
      <c r="R37" s="248" t="s">
        <v>954</v>
      </c>
      <c r="V37" s="103"/>
    </row>
    <row r="38" spans="2:22" ht="16" x14ac:dyDescent="0.2">
      <c r="B38" s="418"/>
      <c r="C38" s="404"/>
      <c r="D38" s="287" t="s">
        <v>761</v>
      </c>
      <c r="E38" s="288" t="s">
        <v>767</v>
      </c>
      <c r="F38" s="289" t="s">
        <v>769</v>
      </c>
      <c r="G38" s="288" t="s">
        <v>486</v>
      </c>
      <c r="H38" s="288" t="s">
        <v>486</v>
      </c>
      <c r="I38" s="288" t="s">
        <v>486</v>
      </c>
      <c r="J38" s="288" t="s">
        <v>486</v>
      </c>
      <c r="K38" s="296" t="s">
        <v>710</v>
      </c>
      <c r="L38" s="286" t="s">
        <v>575</v>
      </c>
      <c r="M38" s="286" t="s">
        <v>486</v>
      </c>
      <c r="N38" s="286" t="s">
        <v>486</v>
      </c>
      <c r="O38" s="286" t="s">
        <v>486</v>
      </c>
      <c r="P38" s="22" t="s">
        <v>877</v>
      </c>
      <c r="Q38" s="245"/>
      <c r="R38" s="248" t="s">
        <v>954</v>
      </c>
      <c r="V38" s="103"/>
    </row>
    <row r="39" spans="2:22" x14ac:dyDescent="0.2">
      <c r="B39" s="418"/>
      <c r="C39" s="408" t="s">
        <v>821</v>
      </c>
      <c r="D39" s="292" t="s">
        <v>762</v>
      </c>
      <c r="E39" s="291" t="s">
        <v>764</v>
      </c>
      <c r="F39" s="293" t="s">
        <v>772</v>
      </c>
      <c r="G39" s="297" t="s">
        <v>486</v>
      </c>
      <c r="H39" s="297" t="s">
        <v>486</v>
      </c>
      <c r="I39" s="297" t="s">
        <v>486</v>
      </c>
      <c r="J39" s="297" t="s">
        <v>486</v>
      </c>
      <c r="K39" s="294" t="s">
        <v>710</v>
      </c>
      <c r="L39" s="294" t="s">
        <v>575</v>
      </c>
      <c r="M39" s="294" t="s">
        <v>486</v>
      </c>
      <c r="N39" s="294" t="s">
        <v>486</v>
      </c>
      <c r="O39" s="294" t="s">
        <v>486</v>
      </c>
      <c r="P39" s="298"/>
      <c r="Q39" s="245"/>
      <c r="R39" s="248" t="s">
        <v>954</v>
      </c>
      <c r="V39" s="103"/>
    </row>
    <row r="40" spans="2:22" x14ac:dyDescent="0.2">
      <c r="B40" s="418"/>
      <c r="C40" s="408"/>
      <c r="D40" s="292" t="s">
        <v>763</v>
      </c>
      <c r="E40" s="291" t="s">
        <v>765</v>
      </c>
      <c r="F40" s="293" t="s">
        <v>773</v>
      </c>
      <c r="G40" s="297" t="s">
        <v>486</v>
      </c>
      <c r="H40" s="297" t="s">
        <v>486</v>
      </c>
      <c r="I40" s="297" t="s">
        <v>486</v>
      </c>
      <c r="J40" s="297" t="s">
        <v>486</v>
      </c>
      <c r="K40" s="294" t="s">
        <v>710</v>
      </c>
      <c r="L40" s="294" t="s">
        <v>575</v>
      </c>
      <c r="M40" s="294" t="s">
        <v>486</v>
      </c>
      <c r="N40" s="294" t="s">
        <v>486</v>
      </c>
      <c r="O40" s="294" t="s">
        <v>486</v>
      </c>
      <c r="P40" s="130" t="s">
        <v>878</v>
      </c>
      <c r="Q40" s="245"/>
      <c r="R40" s="248" t="s">
        <v>954</v>
      </c>
      <c r="V40" s="103"/>
    </row>
    <row r="41" spans="2:22" ht="16" x14ac:dyDescent="0.2">
      <c r="B41" s="418"/>
      <c r="C41" s="404" t="s">
        <v>824</v>
      </c>
      <c r="D41" s="287" t="s">
        <v>822</v>
      </c>
      <c r="E41" s="288" t="s">
        <v>828</v>
      </c>
      <c r="F41" s="289" t="s">
        <v>825</v>
      </c>
      <c r="G41" s="288" t="s">
        <v>486</v>
      </c>
      <c r="H41" s="288" t="s">
        <v>486</v>
      </c>
      <c r="I41" s="288" t="s">
        <v>486</v>
      </c>
      <c r="J41" s="288" t="s">
        <v>486</v>
      </c>
      <c r="K41" s="296" t="s">
        <v>710</v>
      </c>
      <c r="L41" s="286" t="s">
        <v>575</v>
      </c>
      <c r="M41" s="286" t="s">
        <v>486</v>
      </c>
      <c r="N41" s="286" t="s">
        <v>486</v>
      </c>
      <c r="O41" s="286" t="s">
        <v>486</v>
      </c>
      <c r="P41" s="22"/>
      <c r="Q41" s="245"/>
      <c r="R41" s="248" t="s">
        <v>954</v>
      </c>
      <c r="V41" s="103"/>
    </row>
    <row r="42" spans="2:22" ht="16" x14ac:dyDescent="0.2">
      <c r="B42" s="418"/>
      <c r="C42" s="404"/>
      <c r="D42" s="287" t="s">
        <v>823</v>
      </c>
      <c r="E42" s="288" t="s">
        <v>827</v>
      </c>
      <c r="F42" s="289" t="s">
        <v>826</v>
      </c>
      <c r="G42" s="288" t="s">
        <v>486</v>
      </c>
      <c r="H42" s="288" t="s">
        <v>486</v>
      </c>
      <c r="I42" s="288" t="s">
        <v>486</v>
      </c>
      <c r="J42" s="288" t="s">
        <v>486</v>
      </c>
      <c r="K42" s="296" t="s">
        <v>710</v>
      </c>
      <c r="L42" s="286" t="s">
        <v>575</v>
      </c>
      <c r="M42" s="286" t="s">
        <v>486</v>
      </c>
      <c r="N42" s="286" t="s">
        <v>486</v>
      </c>
      <c r="O42" s="286" t="s">
        <v>486</v>
      </c>
      <c r="P42" s="22"/>
      <c r="Q42" s="245"/>
      <c r="R42" s="248" t="s">
        <v>954</v>
      </c>
      <c r="V42" s="103"/>
    </row>
    <row r="43" spans="2:22" x14ac:dyDescent="0.2">
      <c r="B43" s="418"/>
      <c r="C43" s="408" t="s">
        <v>888</v>
      </c>
      <c r="D43" s="292" t="s">
        <v>889</v>
      </c>
      <c r="E43" s="291" t="s">
        <v>890</v>
      </c>
      <c r="F43" s="293" t="s">
        <v>891</v>
      </c>
      <c r="G43" s="297" t="s">
        <v>486</v>
      </c>
      <c r="H43" s="297" t="s">
        <v>486</v>
      </c>
      <c r="I43" s="297" t="s">
        <v>486</v>
      </c>
      <c r="J43" s="297" t="s">
        <v>486</v>
      </c>
      <c r="K43" s="294" t="s">
        <v>710</v>
      </c>
      <c r="L43" s="294" t="s">
        <v>575</v>
      </c>
      <c r="M43" s="294" t="s">
        <v>486</v>
      </c>
      <c r="N43" s="294" t="s">
        <v>486</v>
      </c>
      <c r="O43" s="294" t="s">
        <v>486</v>
      </c>
      <c r="P43" s="112"/>
      <c r="Q43" s="250" t="s">
        <v>955</v>
      </c>
      <c r="V43" s="103"/>
    </row>
    <row r="44" spans="2:22" x14ac:dyDescent="0.2">
      <c r="B44" s="418"/>
      <c r="C44" s="408"/>
      <c r="D44" s="292" t="s">
        <v>893</v>
      </c>
      <c r="E44" s="291" t="s">
        <v>894</v>
      </c>
      <c r="F44" s="293" t="s">
        <v>895</v>
      </c>
      <c r="G44" s="297" t="s">
        <v>486</v>
      </c>
      <c r="H44" s="297" t="s">
        <v>486</v>
      </c>
      <c r="I44" s="297" t="s">
        <v>486</v>
      </c>
      <c r="J44" s="297" t="s">
        <v>486</v>
      </c>
      <c r="K44" s="294" t="s">
        <v>710</v>
      </c>
      <c r="L44" s="294" t="s">
        <v>575</v>
      </c>
      <c r="M44" s="294" t="s">
        <v>486</v>
      </c>
      <c r="N44" s="294" t="s">
        <v>486</v>
      </c>
      <c r="O44" s="294" t="s">
        <v>486</v>
      </c>
      <c r="P44" s="112"/>
      <c r="Q44" s="250" t="s">
        <v>955</v>
      </c>
      <c r="V44" s="103"/>
    </row>
    <row r="45" spans="2:22" ht="16" x14ac:dyDescent="0.2">
      <c r="B45" s="418"/>
      <c r="C45" s="404" t="s">
        <v>897</v>
      </c>
      <c r="D45" s="287" t="s">
        <v>898</v>
      </c>
      <c r="E45" s="288" t="s">
        <v>899</v>
      </c>
      <c r="F45" s="289" t="s">
        <v>900</v>
      </c>
      <c r="G45" s="288" t="s">
        <v>486</v>
      </c>
      <c r="H45" s="288" t="s">
        <v>486</v>
      </c>
      <c r="I45" s="288" t="s">
        <v>486</v>
      </c>
      <c r="J45" s="288" t="s">
        <v>486</v>
      </c>
      <c r="K45" s="296" t="s">
        <v>710</v>
      </c>
      <c r="L45" s="286" t="s">
        <v>575</v>
      </c>
      <c r="M45" s="286" t="s">
        <v>486</v>
      </c>
      <c r="N45" s="286" t="s">
        <v>486</v>
      </c>
      <c r="O45" s="286" t="s">
        <v>486</v>
      </c>
      <c r="P45" s="22"/>
      <c r="Q45" s="245"/>
      <c r="R45" s="248" t="s">
        <v>954</v>
      </c>
      <c r="V45" s="103"/>
    </row>
    <row r="46" spans="2:22" ht="17" thickBot="1" x14ac:dyDescent="0.25">
      <c r="B46" s="418"/>
      <c r="C46" s="404"/>
      <c r="D46" s="287" t="s">
        <v>902</v>
      </c>
      <c r="E46" s="288" t="s">
        <v>903</v>
      </c>
      <c r="F46" s="289" t="s">
        <v>904</v>
      </c>
      <c r="G46" s="288" t="s">
        <v>486</v>
      </c>
      <c r="H46" s="288" t="s">
        <v>486</v>
      </c>
      <c r="I46" s="288" t="s">
        <v>486</v>
      </c>
      <c r="J46" s="288" t="s">
        <v>486</v>
      </c>
      <c r="K46" s="296" t="s">
        <v>710</v>
      </c>
      <c r="L46" s="286" t="s">
        <v>575</v>
      </c>
      <c r="M46" s="286" t="s">
        <v>486</v>
      </c>
      <c r="N46" s="286" t="s">
        <v>486</v>
      </c>
      <c r="O46" s="286" t="s">
        <v>486</v>
      </c>
      <c r="P46" s="22"/>
      <c r="Q46" s="251"/>
      <c r="R46" s="248" t="s">
        <v>954</v>
      </c>
      <c r="V46" s="103"/>
    </row>
    <row r="47" spans="2:22" x14ac:dyDescent="0.2">
      <c r="B47" s="418"/>
      <c r="C47" s="408" t="s">
        <v>979</v>
      </c>
      <c r="D47" s="292" t="s">
        <v>991</v>
      </c>
      <c r="E47" s="291" t="s">
        <v>51</v>
      </c>
      <c r="F47" s="293" t="s">
        <v>981</v>
      </c>
      <c r="G47" s="297" t="s">
        <v>486</v>
      </c>
      <c r="H47" s="297" t="s">
        <v>486</v>
      </c>
      <c r="I47" s="297" t="s">
        <v>486</v>
      </c>
      <c r="J47" s="297" t="s">
        <v>486</v>
      </c>
      <c r="K47" s="294" t="s">
        <v>710</v>
      </c>
      <c r="L47" s="294" t="s">
        <v>575</v>
      </c>
      <c r="M47" s="294" t="s">
        <v>486</v>
      </c>
      <c r="N47" s="294" t="s">
        <v>486</v>
      </c>
      <c r="O47" s="294" t="s">
        <v>486</v>
      </c>
      <c r="P47" s="130"/>
      <c r="Q47" s="284"/>
      <c r="R47" s="248" t="s">
        <v>954</v>
      </c>
      <c r="V47" s="103"/>
    </row>
    <row r="48" spans="2:22" x14ac:dyDescent="0.2">
      <c r="B48" s="418"/>
      <c r="C48" s="408"/>
      <c r="D48" s="292" t="s">
        <v>992</v>
      </c>
      <c r="E48" s="291" t="s">
        <v>980</v>
      </c>
      <c r="F48" s="293" t="s">
        <v>982</v>
      </c>
      <c r="G48" s="297" t="s">
        <v>486</v>
      </c>
      <c r="H48" s="297" t="s">
        <v>486</v>
      </c>
      <c r="I48" s="297" t="s">
        <v>486</v>
      </c>
      <c r="J48" s="297" t="s">
        <v>486</v>
      </c>
      <c r="K48" s="294" t="s">
        <v>710</v>
      </c>
      <c r="L48" s="294" t="s">
        <v>575</v>
      </c>
      <c r="M48" s="294" t="s">
        <v>486</v>
      </c>
      <c r="N48" s="294" t="s">
        <v>486</v>
      </c>
      <c r="O48" s="294" t="s">
        <v>486</v>
      </c>
      <c r="P48" s="130"/>
      <c r="Q48" s="284"/>
      <c r="R48" s="248" t="s">
        <v>954</v>
      </c>
      <c r="V48" s="103"/>
    </row>
    <row r="49" spans="2:22" ht="16" x14ac:dyDescent="0.2">
      <c r="B49" s="418"/>
      <c r="C49" s="404" t="s">
        <v>976</v>
      </c>
      <c r="D49" s="287" t="s">
        <v>977</v>
      </c>
      <c r="E49" s="288" t="s">
        <v>983</v>
      </c>
      <c r="F49" s="289" t="s">
        <v>985</v>
      </c>
      <c r="G49" s="288" t="s">
        <v>486</v>
      </c>
      <c r="H49" s="288" t="s">
        <v>486</v>
      </c>
      <c r="I49" s="288" t="s">
        <v>486</v>
      </c>
      <c r="J49" s="288" t="s">
        <v>486</v>
      </c>
      <c r="K49" s="296" t="s">
        <v>61</v>
      </c>
      <c r="L49" s="286" t="s">
        <v>575</v>
      </c>
      <c r="M49" s="286" t="s">
        <v>486</v>
      </c>
      <c r="N49" s="286" t="s">
        <v>486</v>
      </c>
      <c r="O49" s="286" t="s">
        <v>486</v>
      </c>
      <c r="P49" s="22"/>
      <c r="Q49" s="284"/>
      <c r="R49" s="248" t="s">
        <v>954</v>
      </c>
      <c r="V49" s="103"/>
    </row>
    <row r="50" spans="2:22" ht="16" x14ac:dyDescent="0.2">
      <c r="B50" s="418"/>
      <c r="C50" s="404"/>
      <c r="D50" s="287" t="s">
        <v>978</v>
      </c>
      <c r="E50" s="288" t="s">
        <v>984</v>
      </c>
      <c r="F50" s="289" t="s">
        <v>989</v>
      </c>
      <c r="G50" s="288" t="s">
        <v>486</v>
      </c>
      <c r="H50" s="288" t="s">
        <v>486</v>
      </c>
      <c r="I50" s="288" t="s">
        <v>486</v>
      </c>
      <c r="J50" s="288" t="s">
        <v>486</v>
      </c>
      <c r="K50" s="296" t="s">
        <v>61</v>
      </c>
      <c r="L50" s="286" t="s">
        <v>575</v>
      </c>
      <c r="M50" s="286" t="s">
        <v>486</v>
      </c>
      <c r="N50" s="286" t="s">
        <v>486</v>
      </c>
      <c r="O50" s="286" t="s">
        <v>486</v>
      </c>
      <c r="P50" s="22"/>
      <c r="Q50" s="284"/>
      <c r="R50" s="248" t="s">
        <v>954</v>
      </c>
      <c r="V50" s="103"/>
    </row>
    <row r="51" spans="2:22" x14ac:dyDescent="0.2">
      <c r="B51" s="418"/>
      <c r="C51" s="408" t="s">
        <v>1102</v>
      </c>
      <c r="D51" s="292" t="s">
        <v>1104</v>
      </c>
      <c r="E51" s="291" t="s">
        <v>1218</v>
      </c>
      <c r="F51" s="293" t="s">
        <v>1107</v>
      </c>
      <c r="G51" s="297" t="s">
        <v>486</v>
      </c>
      <c r="H51" s="297" t="s">
        <v>486</v>
      </c>
      <c r="I51" s="297" t="s">
        <v>486</v>
      </c>
      <c r="J51" s="297" t="s">
        <v>486</v>
      </c>
      <c r="K51" s="294" t="s">
        <v>710</v>
      </c>
      <c r="L51" s="294" t="s">
        <v>575</v>
      </c>
      <c r="M51" s="294" t="s">
        <v>486</v>
      </c>
      <c r="N51" s="294" t="s">
        <v>486</v>
      </c>
      <c r="O51" s="294" t="s">
        <v>486</v>
      </c>
      <c r="P51" s="22"/>
      <c r="Q51" s="284"/>
      <c r="R51" s="248" t="s">
        <v>954</v>
      </c>
      <c r="V51" s="103"/>
    </row>
    <row r="52" spans="2:22" x14ac:dyDescent="0.2">
      <c r="B52" s="418"/>
      <c r="C52" s="408"/>
      <c r="D52" s="292" t="s">
        <v>1105</v>
      </c>
      <c r="E52" s="291" t="s">
        <v>1106</v>
      </c>
      <c r="F52" s="293" t="s">
        <v>1108</v>
      </c>
      <c r="G52" s="297" t="s">
        <v>486</v>
      </c>
      <c r="H52" s="297" t="s">
        <v>486</v>
      </c>
      <c r="I52" s="297" t="s">
        <v>486</v>
      </c>
      <c r="J52" s="297" t="s">
        <v>486</v>
      </c>
      <c r="K52" s="294" t="s">
        <v>710</v>
      </c>
      <c r="L52" s="294" t="s">
        <v>575</v>
      </c>
      <c r="M52" s="294" t="s">
        <v>486</v>
      </c>
      <c r="N52" s="294" t="s">
        <v>486</v>
      </c>
      <c r="O52" s="294" t="s">
        <v>486</v>
      </c>
      <c r="P52" s="22"/>
      <c r="Q52" s="284"/>
      <c r="R52" s="248" t="s">
        <v>954</v>
      </c>
      <c r="V52" s="103"/>
    </row>
    <row r="53" spans="2:22" ht="16" x14ac:dyDescent="0.2">
      <c r="B53" s="418"/>
      <c r="C53" s="404" t="s">
        <v>1103</v>
      </c>
      <c r="D53" s="111" t="s">
        <v>1200</v>
      </c>
      <c r="E53" s="130" t="s">
        <v>1206</v>
      </c>
      <c r="F53" s="112" t="s">
        <v>1204</v>
      </c>
      <c r="G53" s="288" t="s">
        <v>486</v>
      </c>
      <c r="H53" s="288" t="s">
        <v>831</v>
      </c>
      <c r="I53" s="288" t="s">
        <v>831</v>
      </c>
      <c r="J53" s="288" t="s">
        <v>831</v>
      </c>
      <c r="K53" s="296" t="s">
        <v>710</v>
      </c>
      <c r="L53" s="286" t="s">
        <v>575</v>
      </c>
      <c r="M53" s="288" t="s">
        <v>831</v>
      </c>
      <c r="N53" s="288" t="s">
        <v>831</v>
      </c>
      <c r="O53" s="286" t="s">
        <v>486</v>
      </c>
      <c r="P53" s="22"/>
      <c r="Q53" s="284"/>
      <c r="R53" s="248" t="s">
        <v>954</v>
      </c>
      <c r="V53" s="103"/>
    </row>
    <row r="54" spans="2:22" ht="17" thickBot="1" x14ac:dyDescent="0.25">
      <c r="B54" s="419"/>
      <c r="C54" s="404"/>
      <c r="D54" s="111" t="s">
        <v>1201</v>
      </c>
      <c r="E54" s="130" t="s">
        <v>1207</v>
      </c>
      <c r="F54" s="112" t="s">
        <v>1205</v>
      </c>
      <c r="G54" s="288" t="s">
        <v>486</v>
      </c>
      <c r="H54" s="288" t="s">
        <v>831</v>
      </c>
      <c r="I54" s="288" t="s">
        <v>831</v>
      </c>
      <c r="J54" s="288" t="s">
        <v>831</v>
      </c>
      <c r="K54" s="296" t="s">
        <v>710</v>
      </c>
      <c r="L54" s="286" t="s">
        <v>575</v>
      </c>
      <c r="M54" s="288" t="s">
        <v>831</v>
      </c>
      <c r="N54" s="288" t="s">
        <v>831</v>
      </c>
      <c r="O54" s="286" t="s">
        <v>486</v>
      </c>
      <c r="P54" s="22"/>
      <c r="Q54" s="284"/>
      <c r="R54" s="248" t="s">
        <v>954</v>
      </c>
      <c r="V54" s="103"/>
    </row>
    <row r="55" spans="2:22" ht="16" x14ac:dyDescent="0.2">
      <c r="B55" s="414" t="s">
        <v>202</v>
      </c>
      <c r="C55" s="409" t="s">
        <v>415</v>
      </c>
      <c r="D55" s="299" t="s">
        <v>417</v>
      </c>
      <c r="E55" s="300" t="s">
        <v>479</v>
      </c>
      <c r="F55" s="301" t="s">
        <v>361</v>
      </c>
      <c r="G55" s="216" t="s">
        <v>486</v>
      </c>
      <c r="H55" s="216" t="s">
        <v>486</v>
      </c>
      <c r="I55" s="216" t="s">
        <v>486</v>
      </c>
      <c r="J55" s="216" t="s">
        <v>486</v>
      </c>
      <c r="K55" s="302" t="s">
        <v>710</v>
      </c>
      <c r="L55" s="303" t="s">
        <v>575</v>
      </c>
      <c r="M55" s="304" t="s">
        <v>486</v>
      </c>
      <c r="N55" s="304" t="s">
        <v>486</v>
      </c>
      <c r="O55" s="304" t="s">
        <v>486</v>
      </c>
      <c r="P55" s="216"/>
      <c r="Q55" s="252"/>
      <c r="R55" s="248" t="s">
        <v>954</v>
      </c>
    </row>
    <row r="56" spans="2:22" ht="16" x14ac:dyDescent="0.2">
      <c r="B56" s="415"/>
      <c r="C56" s="410"/>
      <c r="D56" s="299" t="s">
        <v>416</v>
      </c>
      <c r="E56" s="300" t="s">
        <v>480</v>
      </c>
      <c r="F56" s="301" t="s">
        <v>362</v>
      </c>
      <c r="G56" s="216" t="s">
        <v>486</v>
      </c>
      <c r="H56" s="216" t="s">
        <v>486</v>
      </c>
      <c r="I56" s="216" t="s">
        <v>486</v>
      </c>
      <c r="J56" s="216" t="s">
        <v>486</v>
      </c>
      <c r="K56" s="302" t="s">
        <v>710</v>
      </c>
      <c r="L56" s="303" t="s">
        <v>575</v>
      </c>
      <c r="M56" s="304" t="s">
        <v>486</v>
      </c>
      <c r="N56" s="304" t="s">
        <v>486</v>
      </c>
      <c r="O56" s="304" t="s">
        <v>486</v>
      </c>
      <c r="P56" s="216" t="s">
        <v>879</v>
      </c>
      <c r="Q56" s="245"/>
      <c r="R56" s="248" t="s">
        <v>954</v>
      </c>
    </row>
    <row r="57" spans="2:22" ht="16" x14ac:dyDescent="0.2">
      <c r="B57" s="415"/>
      <c r="C57" s="386" t="s">
        <v>906</v>
      </c>
      <c r="D57" s="196" t="s">
        <v>907</v>
      </c>
      <c r="E57" s="197" t="s">
        <v>149</v>
      </c>
      <c r="F57" s="198" t="s">
        <v>908</v>
      </c>
      <c r="G57" s="217" t="s">
        <v>486</v>
      </c>
      <c r="H57" s="217" t="s">
        <v>486</v>
      </c>
      <c r="I57" s="217" t="s">
        <v>486</v>
      </c>
      <c r="J57" s="217" t="s">
        <v>486</v>
      </c>
      <c r="K57" s="305" t="s">
        <v>710</v>
      </c>
      <c r="L57" s="306" t="s">
        <v>575</v>
      </c>
      <c r="M57" s="307" t="s">
        <v>486</v>
      </c>
      <c r="N57" s="307" t="s">
        <v>486</v>
      </c>
      <c r="O57" s="307" t="s">
        <v>486</v>
      </c>
      <c r="P57" s="198"/>
      <c r="Q57" s="253"/>
      <c r="R57" s="248" t="s">
        <v>954</v>
      </c>
    </row>
    <row r="58" spans="2:22" ht="16" x14ac:dyDescent="0.2">
      <c r="B58" s="415"/>
      <c r="C58" s="386"/>
      <c r="D58" s="196" t="s">
        <v>910</v>
      </c>
      <c r="E58" s="197" t="s">
        <v>911</v>
      </c>
      <c r="F58" s="198" t="s">
        <v>912</v>
      </c>
      <c r="G58" s="217" t="s">
        <v>486</v>
      </c>
      <c r="H58" s="217" t="s">
        <v>486</v>
      </c>
      <c r="I58" s="217" t="s">
        <v>486</v>
      </c>
      <c r="J58" s="217" t="s">
        <v>486</v>
      </c>
      <c r="K58" s="305" t="s">
        <v>710</v>
      </c>
      <c r="L58" s="306" t="s">
        <v>575</v>
      </c>
      <c r="M58" s="307" t="s">
        <v>486</v>
      </c>
      <c r="N58" s="307" t="s">
        <v>486</v>
      </c>
      <c r="O58" s="307" t="s">
        <v>486</v>
      </c>
      <c r="P58" s="198"/>
      <c r="Q58" s="253"/>
      <c r="R58" s="248" t="s">
        <v>954</v>
      </c>
    </row>
    <row r="59" spans="2:22" ht="16" x14ac:dyDescent="0.2">
      <c r="B59" s="415"/>
      <c r="C59" s="388" t="s">
        <v>931</v>
      </c>
      <c r="D59" s="113" t="s">
        <v>914</v>
      </c>
      <c r="E59" s="64" t="s">
        <v>915</v>
      </c>
      <c r="F59" s="244" t="s">
        <v>916</v>
      </c>
      <c r="G59" s="216" t="s">
        <v>486</v>
      </c>
      <c r="H59" s="216" t="s">
        <v>486</v>
      </c>
      <c r="I59" s="216" t="s">
        <v>486</v>
      </c>
      <c r="J59" s="216" t="s">
        <v>486</v>
      </c>
      <c r="K59" s="302" t="s">
        <v>710</v>
      </c>
      <c r="L59" s="354" t="s">
        <v>575</v>
      </c>
      <c r="M59" s="355" t="s">
        <v>486</v>
      </c>
      <c r="N59" s="355" t="s">
        <v>486</v>
      </c>
      <c r="O59" s="355" t="s">
        <v>486</v>
      </c>
      <c r="P59" s="216"/>
      <c r="Q59" s="247"/>
      <c r="R59" s="248" t="s">
        <v>954</v>
      </c>
    </row>
    <row r="60" spans="2:22" ht="16" x14ac:dyDescent="0.2">
      <c r="B60" s="415"/>
      <c r="C60" s="389"/>
      <c r="D60" s="113" t="s">
        <v>918</v>
      </c>
      <c r="E60" s="64" t="s">
        <v>919</v>
      </c>
      <c r="F60" s="244" t="s">
        <v>920</v>
      </c>
      <c r="G60" s="216" t="s">
        <v>486</v>
      </c>
      <c r="H60" s="216" t="s">
        <v>486</v>
      </c>
      <c r="I60" s="216" t="s">
        <v>486</v>
      </c>
      <c r="J60" s="216" t="s">
        <v>486</v>
      </c>
      <c r="K60" s="302" t="s">
        <v>710</v>
      </c>
      <c r="L60" s="354" t="s">
        <v>575</v>
      </c>
      <c r="M60" s="355" t="s">
        <v>486</v>
      </c>
      <c r="N60" s="355" t="s">
        <v>486</v>
      </c>
      <c r="O60" s="355" t="s">
        <v>486</v>
      </c>
      <c r="P60" s="216"/>
      <c r="Q60" s="247"/>
      <c r="R60" s="248" t="s">
        <v>954</v>
      </c>
    </row>
    <row r="61" spans="2:22" ht="16" x14ac:dyDescent="0.2">
      <c r="B61" s="415"/>
      <c r="C61" s="388" t="s">
        <v>1203</v>
      </c>
      <c r="D61" s="113" t="s">
        <v>1110</v>
      </c>
      <c r="E61" s="64" t="s">
        <v>473</v>
      </c>
      <c r="F61" s="244" t="s">
        <v>1112</v>
      </c>
      <c r="G61" s="216" t="s">
        <v>486</v>
      </c>
      <c r="H61" s="216" t="s">
        <v>486</v>
      </c>
      <c r="I61" s="216" t="s">
        <v>486</v>
      </c>
      <c r="J61" s="216" t="s">
        <v>486</v>
      </c>
      <c r="K61" s="302" t="s">
        <v>710</v>
      </c>
      <c r="L61" s="354" t="s">
        <v>575</v>
      </c>
      <c r="M61" s="355" t="s">
        <v>486</v>
      </c>
      <c r="N61" s="355" t="s">
        <v>486</v>
      </c>
      <c r="O61" s="355" t="s">
        <v>486</v>
      </c>
      <c r="P61" s="216"/>
      <c r="Q61" s="247"/>
      <c r="R61" s="248" t="s">
        <v>954</v>
      </c>
    </row>
    <row r="62" spans="2:22" ht="16" x14ac:dyDescent="0.2">
      <c r="B62" s="415"/>
      <c r="C62" s="389"/>
      <c r="D62" s="113" t="s">
        <v>1111</v>
      </c>
      <c r="E62" s="64" t="s">
        <v>1123</v>
      </c>
      <c r="F62" s="244" t="s">
        <v>1113</v>
      </c>
      <c r="G62" s="216" t="s">
        <v>486</v>
      </c>
      <c r="H62" s="216" t="s">
        <v>486</v>
      </c>
      <c r="I62" s="216" t="s">
        <v>486</v>
      </c>
      <c r="J62" s="216" t="s">
        <v>486</v>
      </c>
      <c r="K62" s="302" t="s">
        <v>710</v>
      </c>
      <c r="L62" s="354" t="s">
        <v>575</v>
      </c>
      <c r="M62" s="355" t="s">
        <v>486</v>
      </c>
      <c r="N62" s="355" t="s">
        <v>486</v>
      </c>
      <c r="O62" s="355" t="s">
        <v>486</v>
      </c>
      <c r="P62" s="216"/>
      <c r="Q62" s="247"/>
      <c r="R62" s="248" t="s">
        <v>954</v>
      </c>
    </row>
    <row r="63" spans="2:22" ht="16" x14ac:dyDescent="0.2">
      <c r="B63" s="415"/>
      <c r="C63" s="387" t="s">
        <v>922</v>
      </c>
      <c r="D63" s="196" t="s">
        <v>923</v>
      </c>
      <c r="E63" s="197" t="s">
        <v>924</v>
      </c>
      <c r="F63" s="243" t="s">
        <v>925</v>
      </c>
      <c r="G63" s="217" t="s">
        <v>486</v>
      </c>
      <c r="H63" s="217" t="s">
        <v>486</v>
      </c>
      <c r="I63" s="217" t="s">
        <v>486</v>
      </c>
      <c r="J63" s="217" t="s">
        <v>486</v>
      </c>
      <c r="K63" s="305" t="s">
        <v>710</v>
      </c>
      <c r="L63" s="306" t="s">
        <v>575</v>
      </c>
      <c r="M63" s="307" t="s">
        <v>486</v>
      </c>
      <c r="N63" s="307" t="s">
        <v>486</v>
      </c>
      <c r="O63" s="307" t="s">
        <v>486</v>
      </c>
      <c r="P63" s="243"/>
      <c r="Q63" s="253"/>
      <c r="R63" s="248" t="s">
        <v>954</v>
      </c>
    </row>
    <row r="64" spans="2:22" ht="17" thickBot="1" x14ac:dyDescent="0.25">
      <c r="B64" s="416"/>
      <c r="C64" s="387"/>
      <c r="D64" s="196" t="s">
        <v>927</v>
      </c>
      <c r="E64" s="197" t="s">
        <v>928</v>
      </c>
      <c r="F64" s="198" t="s">
        <v>929</v>
      </c>
      <c r="G64" s="217" t="s">
        <v>486</v>
      </c>
      <c r="H64" s="217" t="s">
        <v>486</v>
      </c>
      <c r="I64" s="217" t="s">
        <v>486</v>
      </c>
      <c r="J64" s="217" t="s">
        <v>486</v>
      </c>
      <c r="K64" s="305" t="s">
        <v>710</v>
      </c>
      <c r="L64" s="306" t="s">
        <v>575</v>
      </c>
      <c r="M64" s="307" t="s">
        <v>486</v>
      </c>
      <c r="N64" s="307" t="s">
        <v>486</v>
      </c>
      <c r="O64" s="307" t="s">
        <v>486</v>
      </c>
      <c r="P64" s="243"/>
      <c r="Q64" s="254"/>
      <c r="R64" s="248" t="s">
        <v>954</v>
      </c>
    </row>
    <row r="65" spans="2:18" ht="16" x14ac:dyDescent="0.2">
      <c r="B65" s="403" t="s">
        <v>201</v>
      </c>
      <c r="C65" s="413" t="s">
        <v>455</v>
      </c>
      <c r="D65" s="309" t="s">
        <v>456</v>
      </c>
      <c r="E65" s="308" t="s">
        <v>155</v>
      </c>
      <c r="F65" s="310" t="s">
        <v>458</v>
      </c>
      <c r="G65" s="308" t="s">
        <v>486</v>
      </c>
      <c r="H65" s="308" t="s">
        <v>486</v>
      </c>
      <c r="I65" s="308" t="s">
        <v>486</v>
      </c>
      <c r="J65" s="308" t="s">
        <v>486</v>
      </c>
      <c r="K65" s="311" t="s">
        <v>710</v>
      </c>
      <c r="L65" s="312" t="s">
        <v>575</v>
      </c>
      <c r="M65" s="313" t="s">
        <v>486</v>
      </c>
      <c r="N65" s="313" t="s">
        <v>486</v>
      </c>
      <c r="O65" s="313" t="s">
        <v>486</v>
      </c>
      <c r="P65" s="218" t="s">
        <v>880</v>
      </c>
      <c r="Q65" s="255"/>
      <c r="R65" s="248" t="s">
        <v>954</v>
      </c>
    </row>
    <row r="66" spans="2:18" ht="16" x14ac:dyDescent="0.2">
      <c r="B66" s="403"/>
      <c r="C66" s="413"/>
      <c r="D66" s="309" t="s">
        <v>457</v>
      </c>
      <c r="E66" s="308" t="s">
        <v>460</v>
      </c>
      <c r="F66" s="310" t="s">
        <v>459</v>
      </c>
      <c r="G66" s="308" t="s">
        <v>486</v>
      </c>
      <c r="H66" s="308" t="s">
        <v>486</v>
      </c>
      <c r="I66" s="308" t="s">
        <v>486</v>
      </c>
      <c r="J66" s="308" t="s">
        <v>486</v>
      </c>
      <c r="K66" s="311" t="s">
        <v>710</v>
      </c>
      <c r="L66" s="312" t="s">
        <v>575</v>
      </c>
      <c r="M66" s="313" t="s">
        <v>486</v>
      </c>
      <c r="N66" s="313" t="s">
        <v>486</v>
      </c>
      <c r="O66" s="313" t="s">
        <v>486</v>
      </c>
      <c r="P66" s="218"/>
      <c r="Q66" s="256"/>
      <c r="R66" s="248" t="s">
        <v>954</v>
      </c>
    </row>
    <row r="67" spans="2:18" ht="16" x14ac:dyDescent="0.2">
      <c r="B67" s="403"/>
      <c r="C67" s="411" t="s">
        <v>512</v>
      </c>
      <c r="D67" s="199" t="s">
        <v>513</v>
      </c>
      <c r="E67" s="136" t="s">
        <v>519</v>
      </c>
      <c r="F67" s="200" t="s">
        <v>515</v>
      </c>
      <c r="G67" s="219" t="s">
        <v>486</v>
      </c>
      <c r="H67" s="219" t="s">
        <v>486</v>
      </c>
      <c r="I67" s="219" t="s">
        <v>486</v>
      </c>
      <c r="J67" s="219" t="s">
        <v>486</v>
      </c>
      <c r="K67" s="314" t="s">
        <v>710</v>
      </c>
      <c r="L67" s="315" t="s">
        <v>575</v>
      </c>
      <c r="M67" s="316" t="s">
        <v>486</v>
      </c>
      <c r="N67" s="316" t="s">
        <v>486</v>
      </c>
      <c r="O67" s="316" t="s">
        <v>486</v>
      </c>
      <c r="P67" s="219" t="s">
        <v>881</v>
      </c>
      <c r="Q67" s="256"/>
      <c r="R67" s="248" t="s">
        <v>954</v>
      </c>
    </row>
    <row r="68" spans="2:18" ht="16" x14ac:dyDescent="0.2">
      <c r="B68" s="403"/>
      <c r="C68" s="411"/>
      <c r="D68" s="199" t="s">
        <v>514</v>
      </c>
      <c r="E68" s="136" t="s">
        <v>520</v>
      </c>
      <c r="F68" s="200" t="s">
        <v>516</v>
      </c>
      <c r="G68" s="219" t="s">
        <v>486</v>
      </c>
      <c r="H68" s="219" t="s">
        <v>486</v>
      </c>
      <c r="I68" s="219" t="s">
        <v>486</v>
      </c>
      <c r="J68" s="219" t="s">
        <v>486</v>
      </c>
      <c r="K68" s="314" t="s">
        <v>710</v>
      </c>
      <c r="L68" s="315" t="s">
        <v>575</v>
      </c>
      <c r="M68" s="316" t="s">
        <v>486</v>
      </c>
      <c r="N68" s="316" t="s">
        <v>486</v>
      </c>
      <c r="O68" s="316" t="s">
        <v>486</v>
      </c>
      <c r="P68" s="219" t="s">
        <v>882</v>
      </c>
      <c r="Q68" s="256"/>
      <c r="R68" s="248" t="s">
        <v>954</v>
      </c>
    </row>
    <row r="69" spans="2:18" ht="16" x14ac:dyDescent="0.2">
      <c r="B69" s="403"/>
      <c r="C69" s="412" t="s">
        <v>528</v>
      </c>
      <c r="D69" s="116" t="s">
        <v>529</v>
      </c>
      <c r="E69" s="133" t="s">
        <v>531</v>
      </c>
      <c r="F69" s="117" t="s">
        <v>533</v>
      </c>
      <c r="G69" s="308" t="s">
        <v>486</v>
      </c>
      <c r="H69" s="308" t="s">
        <v>486</v>
      </c>
      <c r="I69" s="308" t="s">
        <v>486</v>
      </c>
      <c r="J69" s="308" t="s">
        <v>486</v>
      </c>
      <c r="K69" s="311" t="s">
        <v>710</v>
      </c>
      <c r="L69" s="312" t="s">
        <v>575</v>
      </c>
      <c r="M69" s="313" t="s">
        <v>486</v>
      </c>
      <c r="N69" s="313" t="s">
        <v>486</v>
      </c>
      <c r="O69" s="313" t="s">
        <v>486</v>
      </c>
      <c r="P69" s="218"/>
      <c r="Q69" s="134"/>
      <c r="R69" s="248" t="s">
        <v>954</v>
      </c>
    </row>
    <row r="70" spans="2:18" ht="16" x14ac:dyDescent="0.2">
      <c r="B70" s="403"/>
      <c r="C70" s="412"/>
      <c r="D70" s="116" t="s">
        <v>530</v>
      </c>
      <c r="E70" s="133" t="s">
        <v>532</v>
      </c>
      <c r="F70" s="117" t="s">
        <v>534</v>
      </c>
      <c r="G70" s="308" t="s">
        <v>486</v>
      </c>
      <c r="H70" s="308" t="s">
        <v>486</v>
      </c>
      <c r="I70" s="308" t="s">
        <v>486</v>
      </c>
      <c r="J70" s="308" t="s">
        <v>486</v>
      </c>
      <c r="K70" s="311" t="s">
        <v>710</v>
      </c>
      <c r="L70" s="312" t="s">
        <v>575</v>
      </c>
      <c r="M70" s="313" t="s">
        <v>486</v>
      </c>
      <c r="N70" s="313" t="s">
        <v>486</v>
      </c>
      <c r="O70" s="313" t="s">
        <v>486</v>
      </c>
      <c r="P70" s="218" t="s">
        <v>883</v>
      </c>
      <c r="Q70" s="134"/>
      <c r="R70" s="248" t="s">
        <v>954</v>
      </c>
    </row>
    <row r="71" spans="2:18" ht="16" x14ac:dyDescent="0.2">
      <c r="B71" s="403"/>
      <c r="C71" s="411" t="s">
        <v>539</v>
      </c>
      <c r="D71" s="199" t="s">
        <v>544</v>
      </c>
      <c r="E71" s="136" t="s">
        <v>540</v>
      </c>
      <c r="F71" s="200" t="s">
        <v>542</v>
      </c>
      <c r="G71" s="219" t="s">
        <v>486</v>
      </c>
      <c r="H71" s="219" t="s">
        <v>486</v>
      </c>
      <c r="I71" s="219" t="s">
        <v>486</v>
      </c>
      <c r="J71" s="219" t="s">
        <v>486</v>
      </c>
      <c r="K71" s="314" t="s">
        <v>710</v>
      </c>
      <c r="L71" s="315" t="s">
        <v>575</v>
      </c>
      <c r="M71" s="316" t="s">
        <v>486</v>
      </c>
      <c r="N71" s="316" t="s">
        <v>486</v>
      </c>
      <c r="O71" s="316" t="s">
        <v>486</v>
      </c>
      <c r="P71" s="219" t="s">
        <v>884</v>
      </c>
      <c r="Q71" s="256"/>
      <c r="R71" s="248" t="s">
        <v>954</v>
      </c>
    </row>
    <row r="72" spans="2:18" ht="16" x14ac:dyDescent="0.2">
      <c r="B72" s="403"/>
      <c r="C72" s="411"/>
      <c r="D72" s="199" t="s">
        <v>545</v>
      </c>
      <c r="E72" s="136" t="s">
        <v>541</v>
      </c>
      <c r="F72" s="200" t="s">
        <v>543</v>
      </c>
      <c r="G72" s="219" t="s">
        <v>486</v>
      </c>
      <c r="H72" s="219" t="s">
        <v>486</v>
      </c>
      <c r="I72" s="219" t="s">
        <v>486</v>
      </c>
      <c r="J72" s="219" t="s">
        <v>486</v>
      </c>
      <c r="K72" s="314" t="s">
        <v>710</v>
      </c>
      <c r="L72" s="315" t="s">
        <v>575</v>
      </c>
      <c r="M72" s="316" t="s">
        <v>486</v>
      </c>
      <c r="N72" s="316" t="s">
        <v>486</v>
      </c>
      <c r="O72" s="316" t="s">
        <v>486</v>
      </c>
      <c r="P72" s="219"/>
      <c r="Q72" s="256"/>
      <c r="R72" s="248" t="s">
        <v>954</v>
      </c>
    </row>
    <row r="73" spans="2:18" ht="16" x14ac:dyDescent="0.2">
      <c r="B73" s="403"/>
      <c r="C73" s="391" t="s">
        <v>632</v>
      </c>
      <c r="D73" s="116" t="s">
        <v>633</v>
      </c>
      <c r="E73" s="133" t="s">
        <v>635</v>
      </c>
      <c r="F73" s="117" t="s">
        <v>643</v>
      </c>
      <c r="G73" s="308" t="s">
        <v>486</v>
      </c>
      <c r="H73" s="308" t="s">
        <v>486</v>
      </c>
      <c r="I73" s="308" t="s">
        <v>486</v>
      </c>
      <c r="J73" s="308" t="s">
        <v>486</v>
      </c>
      <c r="K73" s="311" t="s">
        <v>710</v>
      </c>
      <c r="L73" s="312" t="s">
        <v>575</v>
      </c>
      <c r="M73" s="313" t="s">
        <v>486</v>
      </c>
      <c r="N73" s="313" t="s">
        <v>486</v>
      </c>
      <c r="O73" s="313" t="s">
        <v>486</v>
      </c>
      <c r="P73" s="218"/>
      <c r="Q73" s="257"/>
      <c r="R73" s="248" t="s">
        <v>954</v>
      </c>
    </row>
    <row r="74" spans="2:18" ht="16" x14ac:dyDescent="0.2">
      <c r="B74" s="403"/>
      <c r="C74" s="392"/>
      <c r="D74" s="116" t="s">
        <v>634</v>
      </c>
      <c r="E74" s="133" t="s">
        <v>636</v>
      </c>
      <c r="F74" s="117" t="s">
        <v>644</v>
      </c>
      <c r="G74" s="308" t="s">
        <v>486</v>
      </c>
      <c r="H74" s="308" t="s">
        <v>486</v>
      </c>
      <c r="I74" s="308" t="s">
        <v>486</v>
      </c>
      <c r="J74" s="308" t="s">
        <v>486</v>
      </c>
      <c r="K74" s="311" t="s">
        <v>710</v>
      </c>
      <c r="L74" s="312" t="s">
        <v>575</v>
      </c>
      <c r="M74" s="313" t="s">
        <v>486</v>
      </c>
      <c r="N74" s="313" t="s">
        <v>486</v>
      </c>
      <c r="O74" s="313" t="s">
        <v>486</v>
      </c>
      <c r="P74" s="218" t="s">
        <v>885</v>
      </c>
      <c r="Q74" s="257"/>
      <c r="R74" s="248" t="s">
        <v>954</v>
      </c>
    </row>
    <row r="75" spans="2:18" ht="16" x14ac:dyDescent="0.2">
      <c r="B75" s="403"/>
      <c r="C75" s="393" t="s">
        <v>689</v>
      </c>
      <c r="D75" s="199" t="s">
        <v>690</v>
      </c>
      <c r="E75" s="136" t="s">
        <v>692</v>
      </c>
      <c r="F75" s="200" t="s">
        <v>695</v>
      </c>
      <c r="G75" s="219" t="s">
        <v>486</v>
      </c>
      <c r="H75" s="219" t="s">
        <v>486</v>
      </c>
      <c r="I75" s="219" t="s">
        <v>486</v>
      </c>
      <c r="J75" s="219" t="s">
        <v>486</v>
      </c>
      <c r="K75" s="314" t="s">
        <v>710</v>
      </c>
      <c r="L75" s="315" t="s">
        <v>575</v>
      </c>
      <c r="M75" s="316" t="s">
        <v>486</v>
      </c>
      <c r="N75" s="316" t="s">
        <v>486</v>
      </c>
      <c r="O75" s="316" t="s">
        <v>486</v>
      </c>
      <c r="P75" s="219"/>
      <c r="Q75" s="257"/>
      <c r="R75" s="248" t="s">
        <v>954</v>
      </c>
    </row>
    <row r="76" spans="2:18" ht="16" x14ac:dyDescent="0.2">
      <c r="B76" s="403"/>
      <c r="C76" s="394"/>
      <c r="D76" s="199" t="s">
        <v>691</v>
      </c>
      <c r="E76" s="136" t="s">
        <v>693</v>
      </c>
      <c r="F76" s="200" t="s">
        <v>694</v>
      </c>
      <c r="G76" s="219" t="s">
        <v>486</v>
      </c>
      <c r="H76" s="219" t="s">
        <v>486</v>
      </c>
      <c r="I76" s="219" t="s">
        <v>486</v>
      </c>
      <c r="J76" s="219" t="s">
        <v>486</v>
      </c>
      <c r="K76" s="314" t="s">
        <v>710</v>
      </c>
      <c r="L76" s="315" t="s">
        <v>575</v>
      </c>
      <c r="M76" s="316" t="s">
        <v>486</v>
      </c>
      <c r="N76" s="316" t="s">
        <v>486</v>
      </c>
      <c r="O76" s="316" t="s">
        <v>486</v>
      </c>
      <c r="P76" s="219" t="s">
        <v>886</v>
      </c>
      <c r="Q76" s="257"/>
      <c r="R76" s="248" t="s">
        <v>954</v>
      </c>
    </row>
    <row r="77" spans="2:18" ht="16" x14ac:dyDescent="0.2">
      <c r="B77" s="403"/>
      <c r="C77" s="391" t="s">
        <v>810</v>
      </c>
      <c r="D77" s="116" t="s">
        <v>811</v>
      </c>
      <c r="E77" s="133" t="s">
        <v>814</v>
      </c>
      <c r="F77" s="117" t="s">
        <v>1026</v>
      </c>
      <c r="G77" s="308" t="s">
        <v>831</v>
      </c>
      <c r="H77" s="308" t="s">
        <v>486</v>
      </c>
      <c r="I77" s="308" t="s">
        <v>486</v>
      </c>
      <c r="J77" s="308" t="s">
        <v>486</v>
      </c>
      <c r="K77" s="311" t="s">
        <v>710</v>
      </c>
      <c r="L77" s="312" t="s">
        <v>575</v>
      </c>
      <c r="M77" s="313" t="s">
        <v>486</v>
      </c>
      <c r="N77" s="313" t="s">
        <v>486</v>
      </c>
      <c r="O77" s="308" t="s">
        <v>831</v>
      </c>
      <c r="P77" s="218"/>
      <c r="Q77" s="257"/>
      <c r="R77" s="248" t="s">
        <v>954</v>
      </c>
    </row>
    <row r="78" spans="2:18" ht="16" x14ac:dyDescent="0.2">
      <c r="B78" s="403"/>
      <c r="C78" s="392"/>
      <c r="D78" s="116" t="s">
        <v>812</v>
      </c>
      <c r="E78" s="133" t="s">
        <v>813</v>
      </c>
      <c r="F78" s="117" t="s">
        <v>1027</v>
      </c>
      <c r="G78" s="308" t="s">
        <v>831</v>
      </c>
      <c r="H78" s="308" t="s">
        <v>486</v>
      </c>
      <c r="I78" s="308" t="s">
        <v>486</v>
      </c>
      <c r="J78" s="308" t="s">
        <v>486</v>
      </c>
      <c r="K78" s="311" t="s">
        <v>710</v>
      </c>
      <c r="L78" s="312" t="s">
        <v>575</v>
      </c>
      <c r="M78" s="313" t="s">
        <v>486</v>
      </c>
      <c r="N78" s="313" t="s">
        <v>486</v>
      </c>
      <c r="O78" s="308" t="s">
        <v>831</v>
      </c>
      <c r="P78" s="218" t="s">
        <v>887</v>
      </c>
      <c r="Q78" s="257"/>
      <c r="R78" s="248" t="s">
        <v>954</v>
      </c>
    </row>
    <row r="79" spans="2:18" ht="16" x14ac:dyDescent="0.2">
      <c r="B79" s="403"/>
      <c r="C79" s="393" t="s">
        <v>961</v>
      </c>
      <c r="D79" s="199" t="s">
        <v>962</v>
      </c>
      <c r="E79" s="136" t="s">
        <v>147</v>
      </c>
      <c r="F79" s="200" t="s">
        <v>966</v>
      </c>
      <c r="G79" s="219" t="s">
        <v>486</v>
      </c>
      <c r="H79" s="219" t="s">
        <v>486</v>
      </c>
      <c r="I79" s="219" t="s">
        <v>486</v>
      </c>
      <c r="J79" s="219" t="s">
        <v>486</v>
      </c>
      <c r="K79" s="314" t="s">
        <v>710</v>
      </c>
      <c r="L79" s="315" t="s">
        <v>575</v>
      </c>
      <c r="M79" s="316" t="s">
        <v>486</v>
      </c>
      <c r="N79" s="316" t="s">
        <v>486</v>
      </c>
      <c r="O79" s="316" t="s">
        <v>486</v>
      </c>
      <c r="P79" s="219"/>
      <c r="Q79" s="257"/>
      <c r="R79" s="248" t="s">
        <v>954</v>
      </c>
    </row>
    <row r="80" spans="2:18" ht="16" x14ac:dyDescent="0.2">
      <c r="B80" s="403"/>
      <c r="C80" s="394"/>
      <c r="D80" s="199" t="s">
        <v>963</v>
      </c>
      <c r="E80" s="136" t="s">
        <v>968</v>
      </c>
      <c r="F80" s="200" t="s">
        <v>967</v>
      </c>
      <c r="G80" s="219" t="s">
        <v>486</v>
      </c>
      <c r="H80" s="219" t="s">
        <v>486</v>
      </c>
      <c r="I80" s="219" t="s">
        <v>486</v>
      </c>
      <c r="J80" s="219" t="s">
        <v>486</v>
      </c>
      <c r="K80" s="314" t="s">
        <v>710</v>
      </c>
      <c r="L80" s="315" t="s">
        <v>575</v>
      </c>
      <c r="M80" s="316" t="s">
        <v>486</v>
      </c>
      <c r="N80" s="316" t="s">
        <v>486</v>
      </c>
      <c r="O80" s="316" t="s">
        <v>486</v>
      </c>
      <c r="P80" s="219"/>
      <c r="Q80" s="257"/>
      <c r="R80" s="248" t="s">
        <v>954</v>
      </c>
    </row>
  </sheetData>
  <mergeCells count="41">
    <mergeCell ref="B55:B64"/>
    <mergeCell ref="C57:C58"/>
    <mergeCell ref="C59:C60"/>
    <mergeCell ref="C63:C64"/>
    <mergeCell ref="C43:C44"/>
    <mergeCell ref="C45:C46"/>
    <mergeCell ref="B3:B54"/>
    <mergeCell ref="C7:C8"/>
    <mergeCell ref="C9:C10"/>
    <mergeCell ref="C11:C12"/>
    <mergeCell ref="C29:C30"/>
    <mergeCell ref="C31:C32"/>
    <mergeCell ref="C17:C18"/>
    <mergeCell ref="C19:C20"/>
    <mergeCell ref="C61:C62"/>
    <mergeCell ref="C67:C68"/>
    <mergeCell ref="C65:C66"/>
    <mergeCell ref="C21:C22"/>
    <mergeCell ref="C25:C26"/>
    <mergeCell ref="C33:C34"/>
    <mergeCell ref="C35:C36"/>
    <mergeCell ref="C47:C48"/>
    <mergeCell ref="C49:C50"/>
    <mergeCell ref="C51:C52"/>
    <mergeCell ref="C53:C54"/>
    <mergeCell ref="C79:C80"/>
    <mergeCell ref="B65:B80"/>
    <mergeCell ref="C77:C78"/>
    <mergeCell ref="C41:C42"/>
    <mergeCell ref="C3:C6"/>
    <mergeCell ref="C73:C74"/>
    <mergeCell ref="C37:C38"/>
    <mergeCell ref="C39:C40"/>
    <mergeCell ref="C55:C56"/>
    <mergeCell ref="C27:C28"/>
    <mergeCell ref="C23:C24"/>
    <mergeCell ref="C13:C14"/>
    <mergeCell ref="C15:C16"/>
    <mergeCell ref="C75:C76"/>
    <mergeCell ref="C71:C72"/>
    <mergeCell ref="C69:C70"/>
  </mergeCells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2"/>
  <sheetViews>
    <sheetView zoomScale="80" zoomScaleNormal="80" workbookViewId="0">
      <selection activeCell="H93" sqref="H93"/>
    </sheetView>
  </sheetViews>
  <sheetFormatPr baseColWidth="10" defaultColWidth="9.1640625" defaultRowHeight="15" x14ac:dyDescent="0.2"/>
  <cols>
    <col min="1" max="1" width="11.5" style="1" bestFit="1" customWidth="1"/>
    <col min="2" max="2" width="9.1640625" style="1"/>
    <col min="3" max="3" width="13.5" style="1" bestFit="1" customWidth="1"/>
    <col min="4" max="4" width="16" style="1" bestFit="1" customWidth="1"/>
    <col min="5" max="5" width="50" style="1" bestFit="1" customWidth="1"/>
    <col min="6" max="6" width="5.5" style="1" bestFit="1" customWidth="1"/>
    <col min="7" max="7" width="6.33203125" style="1" bestFit="1" customWidth="1"/>
    <col min="8" max="8" width="37.33203125" style="1" bestFit="1" customWidth="1"/>
    <col min="9" max="9" width="5.5" style="1" bestFit="1" customWidth="1"/>
    <col min="10" max="10" width="4.33203125" style="1" bestFit="1" customWidth="1"/>
    <col min="11" max="11" width="5.5" style="1" bestFit="1" customWidth="1"/>
    <col min="12" max="12" width="12.33203125" style="1" bestFit="1" customWidth="1"/>
    <col min="13" max="13" width="6.5" style="1" bestFit="1" customWidth="1"/>
    <col min="14" max="16384" width="9.1640625" style="1"/>
  </cols>
  <sheetData>
    <row r="1" spans="1:13" ht="16" thickBot="1" x14ac:dyDescent="0.25">
      <c r="A1" s="1" t="s">
        <v>212</v>
      </c>
      <c r="F1" s="1" t="s">
        <v>213</v>
      </c>
    </row>
    <row r="2" spans="1:13" ht="16" thickBot="1" x14ac:dyDescent="0.25">
      <c r="B2" s="10" t="s">
        <v>1</v>
      </c>
      <c r="C2" s="10" t="s">
        <v>20</v>
      </c>
      <c r="D2" s="10" t="s">
        <v>82</v>
      </c>
      <c r="E2" s="10" t="s">
        <v>81</v>
      </c>
      <c r="G2" s="2" t="s">
        <v>335</v>
      </c>
      <c r="H2" s="2" t="s">
        <v>336</v>
      </c>
      <c r="I2" s="2">
        <v>9100</v>
      </c>
      <c r="J2" s="101" t="s">
        <v>337</v>
      </c>
      <c r="K2" s="2" t="s">
        <v>282</v>
      </c>
      <c r="L2" s="2" t="s">
        <v>338</v>
      </c>
      <c r="M2" s="2">
        <v>44401</v>
      </c>
    </row>
    <row r="3" spans="1:13" ht="33" thickBot="1" x14ac:dyDescent="0.25">
      <c r="B3" s="187" t="s">
        <v>745</v>
      </c>
      <c r="C3" s="184" t="s">
        <v>746</v>
      </c>
      <c r="D3" s="105" t="s">
        <v>79</v>
      </c>
      <c r="E3" s="162" t="s">
        <v>747</v>
      </c>
      <c r="G3" s="2" t="s">
        <v>335</v>
      </c>
      <c r="H3" s="2" t="s">
        <v>336</v>
      </c>
      <c r="I3" s="2">
        <v>9101</v>
      </c>
      <c r="J3" s="102" t="s">
        <v>337</v>
      </c>
      <c r="K3" s="2" t="s">
        <v>304</v>
      </c>
      <c r="L3" s="2" t="s">
        <v>339</v>
      </c>
      <c r="M3" s="2">
        <v>44401</v>
      </c>
    </row>
    <row r="4" spans="1:13" ht="16" thickBot="1" x14ac:dyDescent="0.25">
      <c r="B4" s="188"/>
      <c r="C4" s="168"/>
      <c r="D4" s="105" t="s">
        <v>78</v>
      </c>
      <c r="E4" s="162" t="s">
        <v>748</v>
      </c>
      <c r="G4" s="2" t="s">
        <v>335</v>
      </c>
      <c r="H4" s="2" t="s">
        <v>336</v>
      </c>
      <c r="I4" s="2">
        <v>9102</v>
      </c>
      <c r="J4" s="102" t="s">
        <v>337</v>
      </c>
      <c r="K4" s="2" t="s">
        <v>316</v>
      </c>
      <c r="L4" s="2" t="s">
        <v>340</v>
      </c>
      <c r="M4" s="2">
        <v>44401</v>
      </c>
    </row>
    <row r="5" spans="1:13" ht="16" thickBot="1" x14ac:dyDescent="0.25">
      <c r="B5" s="189"/>
      <c r="C5" s="185"/>
      <c r="D5" s="105" t="s">
        <v>80</v>
      </c>
      <c r="E5" s="9"/>
      <c r="G5" s="2" t="s">
        <v>335</v>
      </c>
      <c r="H5" s="2" t="s">
        <v>336</v>
      </c>
      <c r="I5" s="2">
        <v>9103</v>
      </c>
      <c r="J5" s="102" t="s">
        <v>337</v>
      </c>
      <c r="K5" s="2" t="s">
        <v>269</v>
      </c>
      <c r="L5" s="2" t="s">
        <v>341</v>
      </c>
      <c r="M5" s="2">
        <v>4320</v>
      </c>
    </row>
    <row r="6" spans="1:13" ht="16" thickBot="1" x14ac:dyDescent="0.25">
      <c r="B6" s="423" t="s">
        <v>378</v>
      </c>
      <c r="C6" s="381" t="s">
        <v>344</v>
      </c>
      <c r="D6" s="105" t="s">
        <v>79</v>
      </c>
      <c r="E6" s="106" t="s">
        <v>617</v>
      </c>
      <c r="G6" s="2" t="s">
        <v>335</v>
      </c>
      <c r="H6" s="2" t="s">
        <v>336</v>
      </c>
      <c r="I6" s="2">
        <v>9104</v>
      </c>
      <c r="J6" s="102" t="s">
        <v>337</v>
      </c>
      <c r="K6" s="2" t="s">
        <v>301</v>
      </c>
      <c r="L6" s="2" t="s">
        <v>342</v>
      </c>
      <c r="M6" s="2">
        <v>4320</v>
      </c>
    </row>
    <row r="7" spans="1:13" ht="16" thickBot="1" x14ac:dyDescent="0.25">
      <c r="B7" s="382"/>
      <c r="C7" s="382"/>
      <c r="D7" s="105" t="s">
        <v>78</v>
      </c>
      <c r="E7" s="106" t="s">
        <v>618</v>
      </c>
      <c r="G7" s="2" t="s">
        <v>335</v>
      </c>
      <c r="H7" s="2" t="s">
        <v>336</v>
      </c>
      <c r="I7" s="2">
        <v>9105</v>
      </c>
      <c r="J7" s="102" t="s">
        <v>337</v>
      </c>
      <c r="K7" s="2" t="s">
        <v>312</v>
      </c>
      <c r="L7" s="2" t="s">
        <v>343</v>
      </c>
      <c r="M7" s="2">
        <v>4320</v>
      </c>
    </row>
    <row r="8" spans="1:13" ht="16" thickBot="1" x14ac:dyDescent="0.25">
      <c r="B8" s="383"/>
      <c r="C8" s="383"/>
      <c r="D8" s="105" t="s">
        <v>80</v>
      </c>
      <c r="E8" s="9"/>
      <c r="G8" s="2" t="s">
        <v>335</v>
      </c>
      <c r="H8" s="2" t="s">
        <v>336</v>
      </c>
      <c r="I8" s="2">
        <v>9108</v>
      </c>
      <c r="J8" s="102" t="s">
        <v>337</v>
      </c>
      <c r="K8" s="2" t="s">
        <v>292</v>
      </c>
      <c r="L8" s="2" t="s">
        <v>293</v>
      </c>
      <c r="M8" s="2">
        <v>44401</v>
      </c>
    </row>
    <row r="9" spans="1:13" ht="16" thickBot="1" x14ac:dyDescent="0.25">
      <c r="B9" s="422" t="s">
        <v>379</v>
      </c>
      <c r="C9" s="399" t="s">
        <v>345</v>
      </c>
      <c r="D9" s="211" t="s">
        <v>79</v>
      </c>
      <c r="E9" s="212" t="s">
        <v>355</v>
      </c>
      <c r="G9" s="2" t="s">
        <v>335</v>
      </c>
      <c r="H9" s="2" t="s">
        <v>336</v>
      </c>
      <c r="I9" s="2">
        <v>9141</v>
      </c>
      <c r="J9" s="102" t="s">
        <v>337</v>
      </c>
      <c r="K9" s="2" t="s">
        <v>334</v>
      </c>
      <c r="L9" s="2" t="s">
        <v>482</v>
      </c>
      <c r="M9" s="2">
        <v>44401</v>
      </c>
    </row>
    <row r="10" spans="1:13" ht="16" thickBot="1" x14ac:dyDescent="0.25">
      <c r="B10" s="400"/>
      <c r="C10" s="400"/>
      <c r="D10" s="211" t="s">
        <v>78</v>
      </c>
      <c r="E10" s="212" t="s">
        <v>356</v>
      </c>
      <c r="G10" s="2" t="s">
        <v>335</v>
      </c>
      <c r="H10" s="2" t="s">
        <v>336</v>
      </c>
      <c r="I10" s="2">
        <v>9142</v>
      </c>
      <c r="J10" s="102" t="s">
        <v>337</v>
      </c>
      <c r="K10" s="2" t="s">
        <v>328</v>
      </c>
      <c r="L10" s="2" t="s">
        <v>481</v>
      </c>
      <c r="M10" s="2">
        <v>4320</v>
      </c>
    </row>
    <row r="11" spans="1:13" ht="16" thickBot="1" x14ac:dyDescent="0.25">
      <c r="B11" s="401"/>
      <c r="C11" s="401"/>
      <c r="D11" s="211" t="s">
        <v>80</v>
      </c>
      <c r="E11" s="213"/>
      <c r="G11" s="2" t="s">
        <v>335</v>
      </c>
      <c r="H11" s="2" t="s">
        <v>336</v>
      </c>
      <c r="I11" s="2">
        <v>9143</v>
      </c>
      <c r="J11" s="102" t="s">
        <v>337</v>
      </c>
      <c r="K11" s="2" t="s">
        <v>562</v>
      </c>
      <c r="L11" s="2" t="s">
        <v>607</v>
      </c>
      <c r="M11" s="2">
        <v>44401</v>
      </c>
    </row>
    <row r="12" spans="1:13" ht="16" thickBot="1" x14ac:dyDescent="0.25">
      <c r="B12" s="423" t="s">
        <v>380</v>
      </c>
      <c r="C12" s="381" t="s">
        <v>346</v>
      </c>
      <c r="D12" s="105" t="s">
        <v>79</v>
      </c>
      <c r="E12" s="106" t="s">
        <v>371</v>
      </c>
      <c r="G12" s="2" t="s">
        <v>335</v>
      </c>
      <c r="H12" s="2" t="s">
        <v>336</v>
      </c>
      <c r="I12" s="2">
        <v>9144</v>
      </c>
      <c r="J12" s="102" t="s">
        <v>337</v>
      </c>
      <c r="K12" s="2" t="s">
        <v>561</v>
      </c>
      <c r="L12" s="2" t="s">
        <v>608</v>
      </c>
      <c r="M12" s="2">
        <v>4320</v>
      </c>
    </row>
    <row r="13" spans="1:13" ht="16" thickBot="1" x14ac:dyDescent="0.25">
      <c r="B13" s="382"/>
      <c r="C13" s="382"/>
      <c r="D13" s="105" t="s">
        <v>78</v>
      </c>
      <c r="E13" s="106" t="s">
        <v>372</v>
      </c>
      <c r="G13" s="2" t="s">
        <v>335</v>
      </c>
      <c r="H13" s="2" t="s">
        <v>336</v>
      </c>
      <c r="I13" s="2">
        <v>9145</v>
      </c>
      <c r="J13" s="102" t="s">
        <v>337</v>
      </c>
      <c r="K13" s="2" t="s">
        <v>560</v>
      </c>
      <c r="L13" s="2" t="s">
        <v>609</v>
      </c>
      <c r="M13" s="2">
        <v>44401</v>
      </c>
    </row>
    <row r="14" spans="1:13" ht="16" thickBot="1" x14ac:dyDescent="0.25">
      <c r="B14" s="383"/>
      <c r="C14" s="383"/>
      <c r="D14" s="105" t="s">
        <v>80</v>
      </c>
      <c r="E14" s="9"/>
      <c r="G14" s="2" t="s">
        <v>335</v>
      </c>
      <c r="H14" s="2" t="s">
        <v>336</v>
      </c>
      <c r="I14" s="2">
        <v>9146</v>
      </c>
      <c r="J14" s="102" t="s">
        <v>337</v>
      </c>
      <c r="K14" s="2" t="s">
        <v>559</v>
      </c>
      <c r="L14" s="2" t="s">
        <v>610</v>
      </c>
      <c r="M14" s="2">
        <v>4320</v>
      </c>
    </row>
    <row r="15" spans="1:13" ht="15" customHeight="1" x14ac:dyDescent="0.2">
      <c r="B15" s="420" t="s">
        <v>381</v>
      </c>
      <c r="C15" s="379" t="s">
        <v>347</v>
      </c>
      <c r="D15" s="211" t="s">
        <v>79</v>
      </c>
      <c r="E15" s="212" t="s">
        <v>375</v>
      </c>
    </row>
    <row r="16" spans="1:13" x14ac:dyDescent="0.2">
      <c r="B16" s="379"/>
      <c r="C16" s="379"/>
      <c r="D16" s="211" t="s">
        <v>78</v>
      </c>
      <c r="E16" s="212" t="s">
        <v>376</v>
      </c>
      <c r="G16" s="118" t="s">
        <v>334</v>
      </c>
      <c r="H16" s="106" t="s">
        <v>465</v>
      </c>
    </row>
    <row r="17" spans="2:8" x14ac:dyDescent="0.2">
      <c r="B17" s="379"/>
      <c r="C17" s="379"/>
      <c r="D17" s="211" t="s">
        <v>80</v>
      </c>
      <c r="E17" s="213"/>
      <c r="G17" s="118" t="s">
        <v>334</v>
      </c>
      <c r="H17" s="106" t="s">
        <v>466</v>
      </c>
    </row>
    <row r="18" spans="2:8" ht="15" customHeight="1" x14ac:dyDescent="0.2">
      <c r="B18" s="423" t="s">
        <v>383</v>
      </c>
      <c r="C18" s="381" t="s">
        <v>349</v>
      </c>
      <c r="D18" s="105" t="s">
        <v>79</v>
      </c>
      <c r="E18" s="106" t="s">
        <v>359</v>
      </c>
      <c r="G18" s="118" t="s">
        <v>334</v>
      </c>
      <c r="H18" s="106" t="s">
        <v>467</v>
      </c>
    </row>
    <row r="19" spans="2:8" x14ac:dyDescent="0.2">
      <c r="B19" s="426"/>
      <c r="C19" s="382"/>
      <c r="D19" s="105" t="s">
        <v>78</v>
      </c>
      <c r="E19" s="106" t="s">
        <v>360</v>
      </c>
      <c r="G19" s="118" t="s">
        <v>562</v>
      </c>
      <c r="H19" s="106" t="s">
        <v>601</v>
      </c>
    </row>
    <row r="20" spans="2:8" x14ac:dyDescent="0.2">
      <c r="B20" s="427"/>
      <c r="C20" s="383"/>
      <c r="D20" s="105" t="s">
        <v>80</v>
      </c>
      <c r="E20" s="9"/>
      <c r="G20" s="118" t="s">
        <v>562</v>
      </c>
      <c r="H20" s="106" t="s">
        <v>602</v>
      </c>
    </row>
    <row r="21" spans="2:8" ht="15" customHeight="1" x14ac:dyDescent="0.2">
      <c r="B21" s="422" t="s">
        <v>384</v>
      </c>
      <c r="C21" s="399" t="s">
        <v>734</v>
      </c>
      <c r="D21" s="211" t="s">
        <v>79</v>
      </c>
      <c r="E21" s="212" t="s">
        <v>367</v>
      </c>
      <c r="G21" s="118" t="s">
        <v>562</v>
      </c>
      <c r="H21" s="106" t="s">
        <v>603</v>
      </c>
    </row>
    <row r="22" spans="2:8" x14ac:dyDescent="0.2">
      <c r="B22" s="424"/>
      <c r="C22" s="400"/>
      <c r="D22" s="211" t="s">
        <v>78</v>
      </c>
      <c r="E22" s="212" t="s">
        <v>368</v>
      </c>
      <c r="G22" s="118" t="s">
        <v>560</v>
      </c>
      <c r="H22" s="106" t="s">
        <v>604</v>
      </c>
    </row>
    <row r="23" spans="2:8" x14ac:dyDescent="0.2">
      <c r="B23" s="425"/>
      <c r="C23" s="401"/>
      <c r="D23" s="211" t="s">
        <v>80</v>
      </c>
      <c r="E23" s="213"/>
      <c r="G23" s="118" t="s">
        <v>560</v>
      </c>
      <c r="H23" s="106" t="s">
        <v>605</v>
      </c>
    </row>
    <row r="24" spans="2:8" x14ac:dyDescent="0.2">
      <c r="B24" s="421" t="s">
        <v>385</v>
      </c>
      <c r="C24" s="380" t="s">
        <v>350</v>
      </c>
      <c r="D24" s="105" t="s">
        <v>79</v>
      </c>
      <c r="E24" s="106" t="s">
        <v>386</v>
      </c>
      <c r="G24" s="118" t="s">
        <v>560</v>
      </c>
      <c r="H24" s="106" t="s">
        <v>606</v>
      </c>
    </row>
    <row r="25" spans="2:8" x14ac:dyDescent="0.2">
      <c r="B25" s="380"/>
      <c r="C25" s="380"/>
      <c r="D25" s="105" t="s">
        <v>78</v>
      </c>
      <c r="E25" s="106" t="s">
        <v>387</v>
      </c>
    </row>
    <row r="26" spans="2:8" x14ac:dyDescent="0.2">
      <c r="B26" s="380"/>
      <c r="C26" s="380"/>
      <c r="D26" s="105" t="s">
        <v>80</v>
      </c>
      <c r="E26" s="9"/>
    </row>
    <row r="27" spans="2:8" ht="15" customHeight="1" x14ac:dyDescent="0.2">
      <c r="B27" s="420" t="s">
        <v>497</v>
      </c>
      <c r="C27" s="379" t="s">
        <v>496</v>
      </c>
      <c r="D27" s="211" t="s">
        <v>79</v>
      </c>
      <c r="E27" s="212" t="s">
        <v>498</v>
      </c>
    </row>
    <row r="28" spans="2:8" x14ac:dyDescent="0.2">
      <c r="B28" s="379"/>
      <c r="C28" s="379"/>
      <c r="D28" s="211" t="s">
        <v>78</v>
      </c>
      <c r="E28" s="212" t="s">
        <v>499</v>
      </c>
    </row>
    <row r="29" spans="2:8" x14ac:dyDescent="0.2">
      <c r="B29" s="379"/>
      <c r="C29" s="379"/>
      <c r="D29" s="211" t="s">
        <v>80</v>
      </c>
      <c r="E29" s="213"/>
    </row>
    <row r="30" spans="2:8" ht="15" customHeight="1" x14ac:dyDescent="0.2">
      <c r="B30" s="421" t="s">
        <v>525</v>
      </c>
      <c r="C30" s="380" t="s">
        <v>524</v>
      </c>
      <c r="D30" s="105" t="s">
        <v>79</v>
      </c>
      <c r="E30" s="106" t="s">
        <v>526</v>
      </c>
    </row>
    <row r="31" spans="2:8" x14ac:dyDescent="0.2">
      <c r="B31" s="380"/>
      <c r="C31" s="380"/>
      <c r="D31" s="105" t="s">
        <v>78</v>
      </c>
      <c r="E31" s="106" t="s">
        <v>527</v>
      </c>
    </row>
    <row r="32" spans="2:8" x14ac:dyDescent="0.2">
      <c r="B32" s="380"/>
      <c r="C32" s="380"/>
      <c r="D32" s="105" t="s">
        <v>80</v>
      </c>
      <c r="E32" s="9"/>
    </row>
    <row r="33" spans="2:5" ht="15" customHeight="1" x14ac:dyDescent="0.2">
      <c r="B33" s="420" t="s">
        <v>611</v>
      </c>
      <c r="C33" s="379" t="s">
        <v>612</v>
      </c>
      <c r="D33" s="211" t="s">
        <v>79</v>
      </c>
      <c r="E33" s="212" t="s">
        <v>1213</v>
      </c>
    </row>
    <row r="34" spans="2:5" x14ac:dyDescent="0.2">
      <c r="B34" s="379"/>
      <c r="C34" s="379"/>
      <c r="D34" s="211" t="s">
        <v>78</v>
      </c>
      <c r="E34" s="212" t="s">
        <v>1214</v>
      </c>
    </row>
    <row r="35" spans="2:5" x14ac:dyDescent="0.2">
      <c r="B35" s="379"/>
      <c r="C35" s="379"/>
      <c r="D35" s="211" t="s">
        <v>80</v>
      </c>
      <c r="E35" s="213"/>
    </row>
    <row r="36" spans="2:5" ht="15" customHeight="1" x14ac:dyDescent="0.2">
      <c r="B36" s="422" t="s">
        <v>650</v>
      </c>
      <c r="C36" s="399" t="s">
        <v>649</v>
      </c>
      <c r="D36" s="211" t="s">
        <v>79</v>
      </c>
      <c r="E36" s="212" t="s">
        <v>1216</v>
      </c>
    </row>
    <row r="37" spans="2:5" ht="15" customHeight="1" x14ac:dyDescent="0.2">
      <c r="B37" s="424"/>
      <c r="C37" s="400"/>
      <c r="D37" s="211" t="s">
        <v>78</v>
      </c>
      <c r="E37" s="212" t="s">
        <v>1217</v>
      </c>
    </row>
    <row r="38" spans="2:5" x14ac:dyDescent="0.2">
      <c r="B38" s="425"/>
      <c r="C38" s="401"/>
      <c r="D38" s="211" t="s">
        <v>80</v>
      </c>
      <c r="E38" s="213"/>
    </row>
    <row r="39" spans="2:5" ht="15" customHeight="1" x14ac:dyDescent="0.2">
      <c r="B39" s="423" t="s">
        <v>597</v>
      </c>
      <c r="C39" s="381" t="s">
        <v>598</v>
      </c>
      <c r="D39" s="105" t="s">
        <v>79</v>
      </c>
      <c r="E39" s="162" t="s">
        <v>599</v>
      </c>
    </row>
    <row r="40" spans="2:5" x14ac:dyDescent="0.2">
      <c r="B40" s="426"/>
      <c r="C40" s="382"/>
      <c r="D40" s="105" t="s">
        <v>78</v>
      </c>
      <c r="E40" s="162" t="s">
        <v>600</v>
      </c>
    </row>
    <row r="41" spans="2:5" x14ac:dyDescent="0.2">
      <c r="B41" s="427"/>
      <c r="C41" s="383"/>
      <c r="D41" s="105" t="s">
        <v>80</v>
      </c>
      <c r="E41" s="9"/>
    </row>
    <row r="42" spans="2:5" ht="15" customHeight="1" x14ac:dyDescent="0.2">
      <c r="B42" s="422" t="s">
        <v>683</v>
      </c>
      <c r="C42" s="399" t="s">
        <v>684</v>
      </c>
      <c r="D42" s="211" t="s">
        <v>79</v>
      </c>
      <c r="E42" s="212" t="s">
        <v>685</v>
      </c>
    </row>
    <row r="43" spans="2:5" x14ac:dyDescent="0.2">
      <c r="B43" s="424"/>
      <c r="C43" s="400"/>
      <c r="D43" s="211" t="s">
        <v>78</v>
      </c>
      <c r="E43" s="212" t="s">
        <v>686</v>
      </c>
    </row>
    <row r="44" spans="2:5" x14ac:dyDescent="0.2">
      <c r="B44" s="425"/>
      <c r="C44" s="401"/>
      <c r="D44" s="211" t="s">
        <v>80</v>
      </c>
      <c r="E44" s="213"/>
    </row>
    <row r="45" spans="2:5" ht="15" customHeight="1" x14ac:dyDescent="0.2">
      <c r="B45" s="187" t="s">
        <v>725</v>
      </c>
      <c r="C45" s="184" t="s">
        <v>726</v>
      </c>
      <c r="D45" s="105" t="s">
        <v>79</v>
      </c>
      <c r="E45" s="162" t="s">
        <v>727</v>
      </c>
    </row>
    <row r="46" spans="2:5" x14ac:dyDescent="0.2">
      <c r="B46" s="188"/>
      <c r="C46" s="168"/>
      <c r="D46" s="105" t="s">
        <v>78</v>
      </c>
      <c r="E46" s="162" t="s">
        <v>728</v>
      </c>
    </row>
    <row r="47" spans="2:5" x14ac:dyDescent="0.2">
      <c r="B47" s="189"/>
      <c r="C47" s="185"/>
      <c r="D47" s="105" t="s">
        <v>80</v>
      </c>
      <c r="E47" s="9"/>
    </row>
    <row r="48" spans="2:5" ht="30" customHeight="1" x14ac:dyDescent="0.2">
      <c r="B48" s="186" t="s">
        <v>729</v>
      </c>
      <c r="C48" s="181" t="s">
        <v>730</v>
      </c>
      <c r="D48" s="211" t="s">
        <v>79</v>
      </c>
      <c r="E48" s="212" t="s">
        <v>731</v>
      </c>
    </row>
    <row r="49" spans="2:5" x14ac:dyDescent="0.2">
      <c r="B49" s="214"/>
      <c r="C49" s="182"/>
      <c r="D49" s="211" t="s">
        <v>78</v>
      </c>
      <c r="E49" s="212" t="s">
        <v>732</v>
      </c>
    </row>
    <row r="50" spans="2:5" x14ac:dyDescent="0.2">
      <c r="B50" s="215"/>
      <c r="C50" s="183"/>
      <c r="D50" s="211" t="s">
        <v>80</v>
      </c>
      <c r="E50" s="213"/>
    </row>
    <row r="51" spans="2:5" ht="32" x14ac:dyDescent="0.2">
      <c r="B51" s="187" t="s">
        <v>741</v>
      </c>
      <c r="C51" s="184" t="s">
        <v>733</v>
      </c>
      <c r="D51" s="105" t="s">
        <v>79</v>
      </c>
      <c r="E51" s="162" t="s">
        <v>735</v>
      </c>
    </row>
    <row r="52" spans="2:5" x14ac:dyDescent="0.2">
      <c r="B52" s="188"/>
      <c r="C52" s="168"/>
      <c r="D52" s="105" t="s">
        <v>78</v>
      </c>
      <c r="E52" s="162" t="s">
        <v>736</v>
      </c>
    </row>
    <row r="53" spans="2:5" x14ac:dyDescent="0.2">
      <c r="B53" s="189"/>
      <c r="C53" s="185"/>
      <c r="D53" s="105" t="s">
        <v>80</v>
      </c>
      <c r="E53" s="9"/>
    </row>
    <row r="54" spans="2:5" ht="32" x14ac:dyDescent="0.2">
      <c r="B54" s="186" t="s">
        <v>729</v>
      </c>
      <c r="C54" s="181" t="s">
        <v>737</v>
      </c>
      <c r="D54" s="211" t="s">
        <v>79</v>
      </c>
      <c r="E54" s="212" t="s">
        <v>738</v>
      </c>
    </row>
    <row r="55" spans="2:5" x14ac:dyDescent="0.2">
      <c r="B55" s="214"/>
      <c r="C55" s="182"/>
      <c r="D55" s="211" t="s">
        <v>78</v>
      </c>
      <c r="E55" s="212" t="s">
        <v>739</v>
      </c>
    </row>
    <row r="56" spans="2:5" x14ac:dyDescent="0.2">
      <c r="B56" s="215"/>
      <c r="C56" s="183"/>
      <c r="D56" s="211" t="s">
        <v>80</v>
      </c>
      <c r="E56" s="213"/>
    </row>
    <row r="57" spans="2:5" ht="16" x14ac:dyDescent="0.2">
      <c r="B57" s="187" t="s">
        <v>766</v>
      </c>
      <c r="C57" s="184" t="s">
        <v>836</v>
      </c>
      <c r="D57" s="105" t="s">
        <v>79</v>
      </c>
      <c r="E57" s="162" t="s">
        <v>839</v>
      </c>
    </row>
    <row r="58" spans="2:5" ht="16" x14ac:dyDescent="0.2">
      <c r="B58" s="188" t="s">
        <v>767</v>
      </c>
      <c r="C58" s="168"/>
      <c r="D58" s="105" t="s">
        <v>78</v>
      </c>
      <c r="E58" s="162" t="s">
        <v>840</v>
      </c>
    </row>
    <row r="59" spans="2:5" x14ac:dyDescent="0.2">
      <c r="B59" s="189"/>
      <c r="C59" s="185"/>
      <c r="D59" s="105" t="s">
        <v>80</v>
      </c>
      <c r="E59" s="9"/>
    </row>
    <row r="60" spans="2:5" ht="16" x14ac:dyDescent="0.2">
      <c r="B60" s="186" t="s">
        <v>764</v>
      </c>
      <c r="C60" s="181" t="s">
        <v>837</v>
      </c>
      <c r="D60" s="211" t="s">
        <v>79</v>
      </c>
      <c r="E60" s="212" t="s">
        <v>841</v>
      </c>
    </row>
    <row r="61" spans="2:5" ht="16" x14ac:dyDescent="0.2">
      <c r="B61" s="214" t="s">
        <v>765</v>
      </c>
      <c r="C61" s="182"/>
      <c r="D61" s="211" t="s">
        <v>78</v>
      </c>
      <c r="E61" s="212" t="s">
        <v>842</v>
      </c>
    </row>
    <row r="62" spans="2:5" x14ac:dyDescent="0.2">
      <c r="B62" s="215"/>
      <c r="C62" s="183"/>
      <c r="D62" s="211" t="s">
        <v>80</v>
      </c>
      <c r="E62" s="213"/>
    </row>
    <row r="63" spans="2:5" ht="16" x14ac:dyDescent="0.2">
      <c r="B63" s="187" t="s">
        <v>828</v>
      </c>
      <c r="C63" s="184" t="s">
        <v>838</v>
      </c>
      <c r="D63" s="105" t="s">
        <v>79</v>
      </c>
      <c r="E63" s="162" t="s">
        <v>843</v>
      </c>
    </row>
    <row r="64" spans="2:5" ht="16" x14ac:dyDescent="0.2">
      <c r="B64" s="188" t="s">
        <v>827</v>
      </c>
      <c r="C64" s="168"/>
      <c r="D64" s="105" t="s">
        <v>78</v>
      </c>
      <c r="E64" s="162" t="s">
        <v>844</v>
      </c>
    </row>
    <row r="65" spans="2:5" x14ac:dyDescent="0.2">
      <c r="B65" s="189"/>
      <c r="C65" s="185"/>
      <c r="D65" s="105" t="s">
        <v>80</v>
      </c>
      <c r="E65" s="9"/>
    </row>
    <row r="66" spans="2:5" ht="16" x14ac:dyDescent="0.2">
      <c r="B66" s="186" t="s">
        <v>890</v>
      </c>
      <c r="C66" s="181" t="s">
        <v>932</v>
      </c>
      <c r="D66" s="211" t="s">
        <v>79</v>
      </c>
      <c r="E66" s="212" t="s">
        <v>934</v>
      </c>
    </row>
    <row r="67" spans="2:5" ht="16" x14ac:dyDescent="0.2">
      <c r="B67" s="214" t="s">
        <v>894</v>
      </c>
      <c r="C67" s="182"/>
      <c r="D67" s="211" t="s">
        <v>78</v>
      </c>
      <c r="E67" s="212" t="s">
        <v>935</v>
      </c>
    </row>
    <row r="68" spans="2:5" x14ac:dyDescent="0.2">
      <c r="B68" s="215"/>
      <c r="C68" s="183"/>
      <c r="D68" s="211" t="s">
        <v>80</v>
      </c>
      <c r="E68" s="213"/>
    </row>
    <row r="69" spans="2:5" ht="16" x14ac:dyDescent="0.2">
      <c r="B69" s="187" t="s">
        <v>899</v>
      </c>
      <c r="C69" s="184" t="s">
        <v>933</v>
      </c>
      <c r="D69" s="105" t="s">
        <v>79</v>
      </c>
      <c r="E69" s="162" t="s">
        <v>936</v>
      </c>
    </row>
    <row r="70" spans="2:5" ht="16" x14ac:dyDescent="0.2">
      <c r="B70" s="188" t="s">
        <v>903</v>
      </c>
      <c r="C70" s="168"/>
      <c r="D70" s="105" t="s">
        <v>78</v>
      </c>
      <c r="E70" s="162" t="s">
        <v>937</v>
      </c>
    </row>
    <row r="71" spans="2:5" x14ac:dyDescent="0.2">
      <c r="B71" s="189"/>
      <c r="C71" s="185"/>
      <c r="D71" s="105" t="s">
        <v>80</v>
      </c>
      <c r="E71" s="9"/>
    </row>
    <row r="72" spans="2:5" ht="16" x14ac:dyDescent="0.2">
      <c r="B72" s="186" t="s">
        <v>51</v>
      </c>
      <c r="C72" s="181" t="s">
        <v>999</v>
      </c>
      <c r="D72" s="211" t="s">
        <v>79</v>
      </c>
      <c r="E72" s="212" t="s">
        <v>1003</v>
      </c>
    </row>
    <row r="73" spans="2:5" ht="16" x14ac:dyDescent="0.2">
      <c r="B73" s="214" t="s">
        <v>980</v>
      </c>
      <c r="C73" s="182"/>
      <c r="D73" s="211" t="s">
        <v>78</v>
      </c>
      <c r="E73" s="212" t="s">
        <v>1004</v>
      </c>
    </row>
    <row r="74" spans="2:5" x14ac:dyDescent="0.2">
      <c r="B74" s="215"/>
      <c r="C74" s="183"/>
      <c r="D74" s="211" t="s">
        <v>80</v>
      </c>
      <c r="E74" s="213"/>
    </row>
    <row r="75" spans="2:5" ht="16" x14ac:dyDescent="0.2">
      <c r="B75" s="187" t="s">
        <v>983</v>
      </c>
      <c r="C75" s="184" t="s">
        <v>1000</v>
      </c>
      <c r="D75" s="105" t="s">
        <v>79</v>
      </c>
      <c r="E75" s="162" t="s">
        <v>1001</v>
      </c>
    </row>
    <row r="76" spans="2:5" ht="16" x14ac:dyDescent="0.2">
      <c r="B76" s="188" t="s">
        <v>984</v>
      </c>
      <c r="C76" s="168"/>
      <c r="D76" s="105" t="s">
        <v>78</v>
      </c>
      <c r="E76" s="162" t="s">
        <v>1002</v>
      </c>
    </row>
    <row r="77" spans="2:5" x14ac:dyDescent="0.2">
      <c r="B77" s="189"/>
      <c r="C77" s="185"/>
      <c r="D77" s="105" t="s">
        <v>80</v>
      </c>
      <c r="E77" s="9"/>
    </row>
    <row r="78" spans="2:5" ht="32" x14ac:dyDescent="0.2">
      <c r="B78" s="186" t="s">
        <v>1219</v>
      </c>
      <c r="C78" s="181" t="s">
        <v>1117</v>
      </c>
      <c r="D78" s="211" t="s">
        <v>79</v>
      </c>
      <c r="E78" s="212" t="s">
        <v>1119</v>
      </c>
    </row>
    <row r="79" spans="2:5" x14ac:dyDescent="0.2">
      <c r="B79" s="214"/>
      <c r="C79" s="182"/>
      <c r="D79" s="211" t="s">
        <v>78</v>
      </c>
      <c r="E79" s="212" t="s">
        <v>1120</v>
      </c>
    </row>
    <row r="80" spans="2:5" x14ac:dyDescent="0.2">
      <c r="B80" s="215"/>
      <c r="C80" s="183"/>
      <c r="D80" s="211" t="s">
        <v>80</v>
      </c>
      <c r="E80" s="213"/>
    </row>
    <row r="81" spans="2:5" ht="16" x14ac:dyDescent="0.2">
      <c r="B81" s="187" t="s">
        <v>1206</v>
      </c>
      <c r="C81" s="184" t="s">
        <v>1210</v>
      </c>
      <c r="D81" s="105" t="s">
        <v>79</v>
      </c>
      <c r="E81" s="162" t="s">
        <v>1211</v>
      </c>
    </row>
    <row r="82" spans="2:5" ht="16" x14ac:dyDescent="0.2">
      <c r="B82" s="188" t="s">
        <v>1207</v>
      </c>
      <c r="C82" s="168"/>
      <c r="D82" s="105" t="s">
        <v>78</v>
      </c>
      <c r="E82" s="162" t="s">
        <v>1212</v>
      </c>
    </row>
    <row r="83" spans="2:5" x14ac:dyDescent="0.2">
      <c r="B83" s="189"/>
      <c r="C83" s="185"/>
      <c r="D83" s="105" t="s">
        <v>80</v>
      </c>
      <c r="E83" s="9"/>
    </row>
    <row r="84" spans="2:5" ht="32" x14ac:dyDescent="0.2">
      <c r="B84" s="220" t="s">
        <v>382</v>
      </c>
      <c r="C84" s="220" t="s">
        <v>348</v>
      </c>
      <c r="D84" s="208" t="s">
        <v>79</v>
      </c>
      <c r="E84" s="209" t="s">
        <v>363</v>
      </c>
    </row>
    <row r="85" spans="2:5" x14ac:dyDescent="0.2">
      <c r="B85" s="221"/>
      <c r="C85" s="221"/>
      <c r="D85" s="208" t="s">
        <v>78</v>
      </c>
      <c r="E85" s="209" t="s">
        <v>364</v>
      </c>
    </row>
    <row r="86" spans="2:5" x14ac:dyDescent="0.2">
      <c r="B86" s="222"/>
      <c r="C86" s="221"/>
      <c r="D86" s="208" t="s">
        <v>80</v>
      </c>
      <c r="E86" s="210"/>
    </row>
    <row r="87" spans="2:5" ht="16" x14ac:dyDescent="0.2">
      <c r="B87" s="228" t="s">
        <v>149</v>
      </c>
      <c r="C87" s="228" t="s">
        <v>938</v>
      </c>
      <c r="D87" s="122" t="s">
        <v>79</v>
      </c>
      <c r="E87" s="123" t="s">
        <v>941</v>
      </c>
    </row>
    <row r="88" spans="2:5" ht="16" x14ac:dyDescent="0.2">
      <c r="B88" s="167" t="s">
        <v>911</v>
      </c>
      <c r="C88" s="167"/>
      <c r="D88" s="122" t="s">
        <v>78</v>
      </c>
      <c r="E88" s="123" t="s">
        <v>942</v>
      </c>
    </row>
    <row r="89" spans="2:5" x14ac:dyDescent="0.2">
      <c r="B89" s="229"/>
      <c r="C89" s="167"/>
      <c r="D89" s="122" t="s">
        <v>80</v>
      </c>
      <c r="E89" s="124"/>
    </row>
    <row r="90" spans="2:5" ht="16" x14ac:dyDescent="0.2">
      <c r="B90" s="220" t="s">
        <v>915</v>
      </c>
      <c r="C90" s="220" t="s">
        <v>939</v>
      </c>
      <c r="D90" s="208" t="s">
        <v>79</v>
      </c>
      <c r="E90" s="209" t="s">
        <v>943</v>
      </c>
    </row>
    <row r="91" spans="2:5" ht="16" x14ac:dyDescent="0.2">
      <c r="B91" s="221" t="s">
        <v>919</v>
      </c>
      <c r="C91" s="221"/>
      <c r="D91" s="208" t="s">
        <v>78</v>
      </c>
      <c r="E91" s="209" t="s">
        <v>944</v>
      </c>
    </row>
    <row r="92" spans="2:5" x14ac:dyDescent="0.2">
      <c r="B92" s="222"/>
      <c r="C92" s="222"/>
      <c r="D92" s="208" t="s">
        <v>80</v>
      </c>
      <c r="E92" s="210"/>
    </row>
    <row r="93" spans="2:5" ht="32" x14ac:dyDescent="0.2">
      <c r="B93" s="220" t="s">
        <v>1215</v>
      </c>
      <c r="C93" s="220" t="s">
        <v>1118</v>
      </c>
      <c r="D93" s="208" t="s">
        <v>79</v>
      </c>
      <c r="E93" s="209" t="s">
        <v>1122</v>
      </c>
    </row>
    <row r="94" spans="2:5" x14ac:dyDescent="0.2">
      <c r="B94" s="221"/>
      <c r="C94" s="221"/>
      <c r="D94" s="208" t="s">
        <v>78</v>
      </c>
      <c r="E94" s="209" t="s">
        <v>1121</v>
      </c>
    </row>
    <row r="95" spans="2:5" x14ac:dyDescent="0.2">
      <c r="B95" s="222"/>
      <c r="C95" s="222"/>
      <c r="D95" s="208" t="s">
        <v>80</v>
      </c>
      <c r="E95" s="210"/>
    </row>
    <row r="96" spans="2:5" ht="16" x14ac:dyDescent="0.2">
      <c r="B96" s="228" t="s">
        <v>924</v>
      </c>
      <c r="C96" s="228" t="s">
        <v>940</v>
      </c>
      <c r="D96" s="122" t="s">
        <v>79</v>
      </c>
      <c r="E96" s="123" t="s">
        <v>945</v>
      </c>
    </row>
    <row r="97" spans="2:5" ht="16" x14ac:dyDescent="0.2">
      <c r="B97" s="167" t="s">
        <v>928</v>
      </c>
      <c r="C97" s="167"/>
      <c r="D97" s="122" t="s">
        <v>78</v>
      </c>
      <c r="E97" s="123" t="s">
        <v>946</v>
      </c>
    </row>
    <row r="98" spans="2:5" x14ac:dyDescent="0.2">
      <c r="B98" s="229"/>
      <c r="C98" s="167"/>
      <c r="D98" s="122" t="s">
        <v>80</v>
      </c>
      <c r="E98" s="124"/>
    </row>
    <row r="99" spans="2:5" ht="32" x14ac:dyDescent="0.2">
      <c r="B99" s="164" t="s">
        <v>462</v>
      </c>
      <c r="C99" s="224" t="s">
        <v>536</v>
      </c>
      <c r="D99" s="119" t="s">
        <v>79</v>
      </c>
      <c r="E99" s="120" t="s">
        <v>461</v>
      </c>
    </row>
    <row r="100" spans="2:5" x14ac:dyDescent="0.2">
      <c r="B100" s="165"/>
      <c r="C100" s="163"/>
      <c r="D100" s="119" t="s">
        <v>78</v>
      </c>
      <c r="E100" s="120" t="s">
        <v>454</v>
      </c>
    </row>
    <row r="101" spans="2:5" x14ac:dyDescent="0.2">
      <c r="B101" s="166"/>
      <c r="C101" s="225"/>
      <c r="D101" s="119" t="s">
        <v>80</v>
      </c>
      <c r="E101" s="121"/>
    </row>
    <row r="102" spans="2:5" ht="32" x14ac:dyDescent="0.2">
      <c r="B102" s="201" t="s">
        <v>521</v>
      </c>
      <c r="C102" s="226" t="s">
        <v>535</v>
      </c>
      <c r="D102" s="202" t="s">
        <v>79</v>
      </c>
      <c r="E102" s="203" t="s">
        <v>522</v>
      </c>
    </row>
    <row r="103" spans="2:5" ht="16" x14ac:dyDescent="0.2">
      <c r="B103" s="204" t="s">
        <v>520</v>
      </c>
      <c r="C103" s="205"/>
      <c r="D103" s="202" t="s">
        <v>78</v>
      </c>
      <c r="E103" s="203" t="s">
        <v>523</v>
      </c>
    </row>
    <row r="104" spans="2:5" x14ac:dyDescent="0.2">
      <c r="B104" s="206"/>
      <c r="C104" s="227"/>
      <c r="D104" s="202" t="s">
        <v>80</v>
      </c>
      <c r="E104" s="207"/>
    </row>
    <row r="105" spans="2:5" ht="32" x14ac:dyDescent="0.2">
      <c r="B105" s="164" t="s">
        <v>537</v>
      </c>
      <c r="C105" s="224" t="s">
        <v>538</v>
      </c>
      <c r="D105" s="119" t="s">
        <v>79</v>
      </c>
      <c r="E105" s="120" t="s">
        <v>654</v>
      </c>
    </row>
    <row r="106" spans="2:5" x14ac:dyDescent="0.2">
      <c r="B106" s="165"/>
      <c r="C106" s="163"/>
      <c r="D106" s="119" t="s">
        <v>78</v>
      </c>
      <c r="E106" s="120" t="s">
        <v>655</v>
      </c>
    </row>
    <row r="107" spans="2:5" x14ac:dyDescent="0.2">
      <c r="B107" s="166"/>
      <c r="C107" s="225"/>
      <c r="D107" s="119" t="s">
        <v>80</v>
      </c>
      <c r="E107" s="121"/>
    </row>
    <row r="108" spans="2:5" ht="32" x14ac:dyDescent="0.2">
      <c r="B108" s="201" t="s">
        <v>571</v>
      </c>
      <c r="C108" s="226" t="s">
        <v>572</v>
      </c>
      <c r="D108" s="202" t="s">
        <v>79</v>
      </c>
      <c r="E108" s="203" t="s">
        <v>656</v>
      </c>
    </row>
    <row r="109" spans="2:5" x14ac:dyDescent="0.2">
      <c r="B109" s="204"/>
      <c r="C109" s="205"/>
      <c r="D109" s="202" t="s">
        <v>78</v>
      </c>
      <c r="E109" s="203" t="s">
        <v>657</v>
      </c>
    </row>
    <row r="110" spans="2:5" x14ac:dyDescent="0.2">
      <c r="B110" s="206"/>
      <c r="C110" s="227"/>
      <c r="D110" s="202" t="s">
        <v>80</v>
      </c>
      <c r="E110" s="207"/>
    </row>
    <row r="111" spans="2:5" ht="32" x14ac:dyDescent="0.2">
      <c r="B111" s="164" t="s">
        <v>648</v>
      </c>
      <c r="C111" s="224" t="s">
        <v>647</v>
      </c>
      <c r="D111" s="119" t="s">
        <v>79</v>
      </c>
      <c r="E111" s="120" t="s">
        <v>652</v>
      </c>
    </row>
    <row r="112" spans="2:5" x14ac:dyDescent="0.2">
      <c r="B112" s="165"/>
      <c r="C112" s="163"/>
      <c r="D112" s="119" t="s">
        <v>78</v>
      </c>
      <c r="E112" s="120" t="s">
        <v>653</v>
      </c>
    </row>
    <row r="113" spans="2:5" x14ac:dyDescent="0.2">
      <c r="B113" s="166"/>
      <c r="C113" s="225"/>
      <c r="D113" s="119" t="s">
        <v>80</v>
      </c>
      <c r="E113" s="121"/>
    </row>
    <row r="114" spans="2:5" ht="32" x14ac:dyDescent="0.2">
      <c r="B114" s="201" t="s">
        <v>740</v>
      </c>
      <c r="C114" s="226" t="s">
        <v>742</v>
      </c>
      <c r="D114" s="202" t="s">
        <v>79</v>
      </c>
      <c r="E114" s="203" t="s">
        <v>743</v>
      </c>
    </row>
    <row r="115" spans="2:5" x14ac:dyDescent="0.2">
      <c r="B115" s="204"/>
      <c r="C115" s="205"/>
      <c r="D115" s="202" t="s">
        <v>78</v>
      </c>
      <c r="E115" s="203" t="s">
        <v>744</v>
      </c>
    </row>
    <row r="116" spans="2:5" x14ac:dyDescent="0.2">
      <c r="B116" s="206"/>
      <c r="C116" s="227"/>
      <c r="D116" s="202" t="s">
        <v>80</v>
      </c>
      <c r="E116" s="207"/>
    </row>
    <row r="117" spans="2:5" ht="32" x14ac:dyDescent="0.2">
      <c r="B117" s="164" t="s">
        <v>832</v>
      </c>
      <c r="C117" s="224" t="s">
        <v>833</v>
      </c>
      <c r="D117" s="119" t="s">
        <v>79</v>
      </c>
      <c r="E117" s="120" t="s">
        <v>834</v>
      </c>
    </row>
    <row r="118" spans="2:5" x14ac:dyDescent="0.2">
      <c r="B118" s="165"/>
      <c r="C118" s="163"/>
      <c r="D118" s="119" t="s">
        <v>78</v>
      </c>
      <c r="E118" s="120" t="s">
        <v>835</v>
      </c>
    </row>
    <row r="119" spans="2:5" x14ac:dyDescent="0.2">
      <c r="B119" s="166"/>
      <c r="C119" s="225"/>
      <c r="D119" s="119" t="s">
        <v>80</v>
      </c>
      <c r="E119" s="121"/>
    </row>
    <row r="120" spans="2:5" ht="16" x14ac:dyDescent="0.2">
      <c r="B120" s="201" t="s">
        <v>147</v>
      </c>
      <c r="C120" s="226" t="s">
        <v>1005</v>
      </c>
      <c r="D120" s="202" t="s">
        <v>79</v>
      </c>
      <c r="E120" s="203" t="s">
        <v>1006</v>
      </c>
    </row>
    <row r="121" spans="2:5" ht="16" x14ac:dyDescent="0.2">
      <c r="B121" s="204" t="s">
        <v>968</v>
      </c>
      <c r="C121" s="205"/>
      <c r="D121" s="202" t="s">
        <v>78</v>
      </c>
      <c r="E121" s="203" t="s">
        <v>1007</v>
      </c>
    </row>
    <row r="122" spans="2:5" x14ac:dyDescent="0.2">
      <c r="B122" s="206"/>
      <c r="C122" s="227"/>
      <c r="D122" s="202" t="s">
        <v>80</v>
      </c>
      <c r="E122" s="207"/>
    </row>
  </sheetData>
  <mergeCells count="26">
    <mergeCell ref="B42:B44"/>
    <mergeCell ref="C42:C44"/>
    <mergeCell ref="C15:C17"/>
    <mergeCell ref="C18:C20"/>
    <mergeCell ref="C21:C23"/>
    <mergeCell ref="B15:B17"/>
    <mergeCell ref="B18:B20"/>
    <mergeCell ref="B21:B23"/>
    <mergeCell ref="C24:C26"/>
    <mergeCell ref="B27:B29"/>
    <mergeCell ref="C27:C29"/>
    <mergeCell ref="B36:B38"/>
    <mergeCell ref="C36:C38"/>
    <mergeCell ref="B24:B26"/>
    <mergeCell ref="C39:C41"/>
    <mergeCell ref="B39:B41"/>
    <mergeCell ref="B33:B35"/>
    <mergeCell ref="C33:C35"/>
    <mergeCell ref="B30:B32"/>
    <mergeCell ref="C30:C32"/>
    <mergeCell ref="C6:C8"/>
    <mergeCell ref="B9:B11"/>
    <mergeCell ref="C9:C11"/>
    <mergeCell ref="B12:B14"/>
    <mergeCell ref="C12:C14"/>
    <mergeCell ref="B6:B8"/>
  </mergeCells>
  <hyperlinks>
    <hyperlink ref="E7" r:id="rId1" xr:uid="{1522E0C1-186E-448B-9C0B-8987CE99CFDA}"/>
    <hyperlink ref="E6" r:id="rId2" xr:uid="{148D6F7A-0EA8-43C7-8439-AD3718F45852}"/>
    <hyperlink ref="E9" r:id="rId3" xr:uid="{66CE8A0C-63D0-4DF1-93BB-ACE0CEA335A9}"/>
    <hyperlink ref="E10" r:id="rId4" xr:uid="{2744A376-F98D-4BA0-BA71-C55DEC399AC3}"/>
    <hyperlink ref="E12" r:id="rId5" xr:uid="{007F82BA-FBF6-410F-9C06-2E8C9401CD8F}"/>
    <hyperlink ref="E13" r:id="rId6" xr:uid="{00A44E10-92EB-48B5-A4F7-AF2B9B765C82}"/>
    <hyperlink ref="E16" r:id="rId7" xr:uid="{DB09A97A-9CA3-4E18-B4D7-BD72E56900A6}"/>
    <hyperlink ref="E15" r:id="rId8" xr:uid="{296D1C0F-A66E-4035-B815-BA701DF3D998}"/>
    <hyperlink ref="E27" r:id="rId9" xr:uid="{4406A866-077E-4A34-86FE-28421682FCA5}"/>
    <hyperlink ref="E28" r:id="rId10" xr:uid="{53744168-B23E-4797-9757-C32AEF0B2710}"/>
    <hyperlink ref="E19" r:id="rId11" display="https://eur01.safelinks.protection.outlook.com/?url=https%3A%2F%2Fsapwdana.pharma.aventis.com%3A9100%2FXMII&amp;data=04%7C01%7CJacques.Robert%40sanofi.com%7C7caea3bbed5c477afa2408d8c31d7e0e%7Caca3c8d6aa714e1aa10e03572fc58c0b%7C0%7C0%7C637473878877360330%7CUnknown%7CTWFpbGZsb3d8eyJWIjoiMC4wLjAwMDAiLCJQIjoiV2luMzIiLCJBTiI6Ik1haWwiLCJXVCI6Mn0%3D%7C1000&amp;sdata=EtleXOA1PaWJlt25A2o6T6dzwqW%2FOsO2%2F32ySE%2BZAsA%3D&amp;reserved=0" xr:uid="{F275F2FA-832F-40C5-93B6-D86152FBE725}"/>
    <hyperlink ref="E18" r:id="rId12" display="https://eur01.safelinks.protection.outlook.com/?url=https%3A%2F%2Fsapwdana.pharma.aventis.com%3A9100%2Fnwa&amp;data=04%7C01%7CJacques.Robert%40sanofi.com%7C7caea3bbed5c477afa2408d8c31d7e0e%7Caca3c8d6aa714e1aa10e03572fc58c0b%7C0%7C0%7C637473878877360330%7CUnknown%7CTWFpbGZsb3d8eyJWIjoiMC4wLjAwMDAiLCJQIjoiV2luMzIiLCJBTiI6Ik1haWwiLCJXVCI6Mn0%3D%7C1000&amp;sdata=DoklWinfHcdgQX8IBJeFtm3aLT1WTc64EwUdTi%2FUvOo%3D&amp;reserved=0" xr:uid="{4400C23C-6163-4C2E-B0DE-3D82F63DAA92}"/>
    <hyperlink ref="E22" r:id="rId13" display="https://eur01.safelinks.protection.outlook.com/?url=https%3A%2F%2Fsapwdelb.pharma.aventis.com%3A9100%2FXMII&amp;data=04%7C01%7CJacques.Robert%40sanofi.com%7C7caea3bbed5c477afa2408d8c31d7e0e%7Caca3c8d6aa714e1aa10e03572fc58c0b%7C0%7C0%7C637473878877370279%7CUnknown%7CTWFpbGZsb3d8eyJWIjoiMC4wLjAwMDAiLCJQIjoiV2luMzIiLCJBTiI6Ik1haWwiLCJXVCI6Mn0%3D%7C1000&amp;sdata=hIXUtQtWZMwOOWYA0abjVsSW7OkFi92uz3vEfRexUuE%3D&amp;reserved=0" xr:uid="{B21BE7A9-869C-479E-926E-867070BC64E1}"/>
    <hyperlink ref="E21" r:id="rId14" display="https://eur01.safelinks.protection.outlook.com/?url=https%3A%2F%2Fsapwdelb.pharma.aventis.com%3A9100%2Fnwa&amp;data=04%7C01%7CJacques.Robert%40sanofi.com%7C7caea3bbed5c477afa2408d8c31d7e0e%7Caca3c8d6aa714e1aa10e03572fc58c0b%7C0%7C0%7C637473878877370279%7CUnknown%7CTWFpbGZsb3d8eyJWIjoiMC4wLjAwMDAiLCJQIjoiV2luMzIiLCJBTiI6Ik1haWwiLCJXVCI6Mn0%3D%7C1000&amp;sdata=8W9ULdZE9v9FjiqCjKlq08CztN0TgV0RiAVYP1JWoQE%3D&amp;reserved=0" xr:uid="{40A95F4D-F6FD-42E5-932B-6387F8BAD6E3}"/>
    <hyperlink ref="E24" r:id="rId15" xr:uid="{78364739-C100-40FB-9613-9FF24084334C}"/>
    <hyperlink ref="E25" r:id="rId16" xr:uid="{672D66A8-68B5-40DA-AD0D-2D1A393B3F81}"/>
    <hyperlink ref="H16" r:id="rId17" display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xr:uid="{0F0421A2-C65A-4832-A2A0-D64498461454}"/>
    <hyperlink ref="H17" r:id="rId18" display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xr:uid="{2528FE4D-32E9-479B-A35D-D16767947180}"/>
    <hyperlink ref="H18" r:id="rId19" display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xr:uid="{5D8E12D2-57F0-48B6-BBAA-235AA5D07084}"/>
    <hyperlink ref="E30" r:id="rId20" xr:uid="{B90D169D-915F-4745-91D1-C543827FA67C}"/>
    <hyperlink ref="E31" r:id="rId21" xr:uid="{6EE00C49-28ED-4816-A0D1-CF4043B9EA2B}"/>
    <hyperlink ref="E37" r:id="rId22" xr:uid="{1AC2E7B9-9282-4350-B815-3FC831C95F8E}"/>
    <hyperlink ref="E36" r:id="rId23" xr:uid="{D343C6BA-B621-4596-B97F-3697E1E291A7}"/>
    <hyperlink ref="H19" r:id="rId24" display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xr:uid="{2A325548-A958-425C-9533-1A80AD0A5BBB}"/>
    <hyperlink ref="H20" r:id="rId25" display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xr:uid="{3E92A605-80F6-4364-AA09-7AA5D55A571C}"/>
    <hyperlink ref="H21" r:id="rId26" display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xr:uid="{C2DE9C12-F245-4C76-9735-6BD227FE7FFB}"/>
    <hyperlink ref="H22" r:id="rId27" display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xr:uid="{210C3005-291C-4CB7-B838-74AAE1267ECF}"/>
    <hyperlink ref="H23" r:id="rId28" display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xr:uid="{A2003193-D123-4D17-BDA6-0FFE6455567A}"/>
    <hyperlink ref="H24" r:id="rId29" display="https://eur01.safelinks.protection.outlook.com/?url=https%3A%2F%2Fsapwdawsemea.pharma.aventis.com%3A9141%2FOEEDashboard%2FWorkerUI.jsp&amp;data=04%7C01%7CJacques.Robert%40sanofi.com%7Ce4ceca094b064843efd708d8d1d9192d%7Caca3c8d6aa714e1aa10e03572fc58c0b%7C0%7C0%7C637490077640108513%7CUnknown%7CTWFpbGZsb3d8eyJWIjoiMC4wLjAwMDAiLCJQIjoiV2luMzIiLCJBTiI6Ik1haWwiLCJXVCI6Mn0%3D%7C1000&amp;sdata=Eg6%2BToK6%2F5IlzXM%2BT8hD2sjx1vqpMiVEhf%2FHa1lWBiw%3D&amp;reserved=0" xr:uid="{332C434C-76DA-4B48-9ED5-64FE4B0E8D88}"/>
    <hyperlink ref="E40" r:id="rId30" display="https://eur01.safelinks.protection.outlook.com/?url=https:%2F%2Fsapwdawsemea.pharma.aventis.com:9141%2Fwebdynpro%2Fresources%2Fsap.com%2Ftc~lm~itsam~ui~mainframe~wd%2FFloorPlanApp%3Fhome%3Dtrue&amp;data=04%7C01%7CJacques.Robert%40sanofi.com%7Ce4ceca094b064843efd708d8d1d9192d%7Caca3c8d6aa714e1aa10e03572fc58c0b%7C0%7C0%7C637490077640098561%7CUnknown%7CTWFpbGZsb3d8eyJWIjoiMC4wLjAwMDAiLCJQIjoiV2luMzIiLCJBTiI6Ik1haWwiLCJXVCI6Mn0%3D%7C1000&amp;sdata=FXZlQkajgRV5AqBIkkoxAy1Qds7EVW9gz4YNpapkZGo%3D&amp;reserved=0" xr:uid="{EB67F327-7087-418D-917D-C8165EAE8A7A}"/>
    <hyperlink ref="E39" r:id="rId31" display="https://eur01.safelinks.protection.outlook.com/?url=https%3A%2F%2Fsapwdawsemea.pharma.aventis.com%3A9141%2FXMII%2FIlluminator%3Fservice%3DPersonalization&amp;data=04%7C01%7CJacques.Robert%40sanofi.com%7Ce4ceca094b064843efd708d8d1d9192d%7Caca3c8d6aa714e1aa10e03572fc58c0b%7C0%7C0%7C637490077640108513%7CUnknown%7CTWFpbGZsb3d8eyJWIjoiMC4wLjAwMDAiLCJQIjoiV2luMzIiLCJBTiI6Ik1haWwiLCJXVCI6Mn0%3D%7C1000&amp;sdata=xM6EoI5s1BP7%2B2q95flT%2FFml9Gg%2Bdaq6qToh0O49fAc%3D&amp;reserved=0" xr:uid="{638FEFF0-A77A-4EDD-A0BF-9B0251509955}"/>
    <hyperlink ref="E33" r:id="rId32" xr:uid="{7F80F1A3-803E-436B-AD38-FEBC618C183F}"/>
    <hyperlink ref="E34" r:id="rId33" xr:uid="{7E0F9485-2BEA-4A66-BD0D-16191E5D1902}"/>
    <hyperlink ref="E43" r:id="rId34" xr:uid="{3845F424-4EE4-4EE6-B55D-470D2080000E}"/>
    <hyperlink ref="E42" r:id="rId35" xr:uid="{F7392ACE-FEBF-4268-A317-38EEED485C2E}"/>
    <hyperlink ref="E45" r:id="rId36" xr:uid="{C2B47DB2-033D-4348-A8C2-AE9AE1C0415B}"/>
    <hyperlink ref="E46" r:id="rId37" xr:uid="{5D543673-6EEF-4BE0-958E-769AEB6D3F9F}"/>
    <hyperlink ref="E48" r:id="rId38" xr:uid="{2EB270F9-40C4-4975-B9DB-BCA328D310B4}"/>
    <hyperlink ref="E49" r:id="rId39" xr:uid="{031E981F-BD6F-4D2F-A81F-97AA88985F38}"/>
    <hyperlink ref="E51" r:id="rId40" xr:uid="{E30B831C-47E1-4356-9C34-A097B50769DC}"/>
    <hyperlink ref="E52" r:id="rId41" xr:uid="{FCE0E366-FA67-43C4-B824-02F0E3622CBD}"/>
    <hyperlink ref="E54" r:id="rId42" xr:uid="{ADB3685D-C7B8-4500-BBFA-292BAA2E5824}"/>
    <hyperlink ref="E55" r:id="rId43" xr:uid="{69013207-C85F-4D2C-AB9D-9E932D51C17F}"/>
    <hyperlink ref="E3" r:id="rId44" xr:uid="{60DFEC29-713F-4167-9086-4C0D325C03EE}"/>
    <hyperlink ref="E4" r:id="rId45" xr:uid="{CEF61514-4348-4D1F-9C9D-C3E5CCFD8850}"/>
    <hyperlink ref="E57" r:id="rId46" xr:uid="{872D0990-0EC7-4547-AA3D-EA51CC0F6C82}"/>
    <hyperlink ref="E58" r:id="rId47" xr:uid="{E7018468-3614-4C71-A129-8249D8FB458F}"/>
    <hyperlink ref="E60" r:id="rId48" xr:uid="{6C116FA5-C7AD-4B96-B863-20511CBF6445}"/>
    <hyperlink ref="E61" r:id="rId49" xr:uid="{032DF806-E3F4-4E32-8D8B-F44278823421}"/>
    <hyperlink ref="E63" r:id="rId50" xr:uid="{6A32D635-D1F8-4567-AB42-7D12583F685E}"/>
    <hyperlink ref="E64" r:id="rId51" xr:uid="{B6EC5538-C2FD-48D0-82EA-A7C8CE4B80BE}"/>
    <hyperlink ref="E66" r:id="rId52" xr:uid="{57AB8240-511D-4730-A7B5-4A388813A1FE}"/>
    <hyperlink ref="E67" r:id="rId53" xr:uid="{77F82B6D-A978-46F9-ABC7-10501A78824F}"/>
    <hyperlink ref="E69" r:id="rId54" xr:uid="{E442D0A0-500A-488B-ACED-B9C7D5A1ADC4}"/>
    <hyperlink ref="E70" r:id="rId55" xr:uid="{17EF7C4B-4618-4577-9F8C-668D424C0E3D}"/>
    <hyperlink ref="E84" r:id="rId56" display="https://sapwdsco.pharma.aventis.com:9100/XMII" xr:uid="{791C4918-D863-224C-B13B-DF7C154DFCA3}"/>
    <hyperlink ref="E85" r:id="rId57" xr:uid="{B6F8B4EF-AF2E-B249-B121-42385EA5BBC5}"/>
    <hyperlink ref="E72" r:id="rId58" xr:uid="{0F58A479-A642-0F4F-871D-55E35B1AFC3D}"/>
    <hyperlink ref="E73" r:id="rId59" xr:uid="{D3E7F753-1FB0-FC43-947A-89A36726FCA5}"/>
    <hyperlink ref="E75" r:id="rId60" xr:uid="{3D211267-3046-F943-9DF7-B9AACD956C7C}"/>
    <hyperlink ref="E76" r:id="rId61" xr:uid="{3EBA372E-3FBB-6F42-B732-2CEBC09BC061}"/>
    <hyperlink ref="E120" r:id="rId62" xr:uid="{7EC0AC97-C7BF-2446-B417-493A96952EAE}"/>
    <hyperlink ref="E121" r:id="rId63" xr:uid="{2E1D0E78-C3D8-A144-8891-BDDDB5FE28C8}"/>
    <hyperlink ref="E78" r:id="rId64" xr:uid="{1B3B5729-CC7C-2F49-B8E3-28FC4875CEEA}"/>
    <hyperlink ref="E79" r:id="rId65" xr:uid="{28B8CF1D-3913-1C47-A8B3-B8D6E7B3E387}"/>
    <hyperlink ref="E81" r:id="rId66" xr:uid="{AC16CE51-8FBE-F64B-9266-A916F6C70020}"/>
    <hyperlink ref="E82" r:id="rId67" xr:uid="{43C6C691-BF2F-6746-8386-88013E1FEF4D}"/>
    <hyperlink ref="E93" r:id="rId68" xr:uid="{25FAE9A4-6B06-244D-90B0-1473C5DC5A8D}"/>
    <hyperlink ref="E94" r:id="rId69" xr:uid="{5F0942C2-FB2F-764B-811B-1F20B648220F}"/>
  </hyperlinks>
  <pageMargins left="0.7" right="0.7" top="0.75" bottom="0.75" header="0.3" footer="0.3"/>
  <pageSetup orientation="portrait" r:id="rId70"/>
  <headerFooter>
    <oddHeader>&amp;C&amp;"Calibri"&amp;10&amp;K4A569E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B9BE-B461-CE4E-93C8-5C3D6104D429}">
  <dimension ref="B1:L79"/>
  <sheetViews>
    <sheetView topLeftCell="A26" workbookViewId="0">
      <selection activeCell="G61" sqref="G61"/>
    </sheetView>
  </sheetViews>
  <sheetFormatPr baseColWidth="10" defaultRowHeight="15" x14ac:dyDescent="0.2"/>
  <cols>
    <col min="2" max="2" width="6.5" bestFit="1" customWidth="1"/>
    <col min="3" max="3" width="13.5" bestFit="1" customWidth="1"/>
    <col min="4" max="4" width="15.33203125" customWidth="1"/>
    <col min="6" max="6" width="15.1640625" bestFit="1" customWidth="1"/>
    <col min="7" max="7" width="16.83203125" bestFit="1" customWidth="1"/>
    <col min="8" max="8" width="14.6640625" bestFit="1" customWidth="1"/>
    <col min="9" max="9" width="24.33203125" bestFit="1" customWidth="1"/>
    <col min="10" max="10" width="25.1640625" bestFit="1" customWidth="1"/>
  </cols>
  <sheetData>
    <row r="1" spans="2:12" ht="16" thickBot="1" x14ac:dyDescent="0.25"/>
    <row r="2" spans="2:12" ht="19" x14ac:dyDescent="0.2">
      <c r="B2" s="395" t="s">
        <v>30</v>
      </c>
      <c r="C2" s="396"/>
      <c r="D2" s="397"/>
      <c r="E2" s="397"/>
      <c r="F2" s="397"/>
      <c r="G2" s="397"/>
      <c r="H2" s="397"/>
      <c r="I2" s="397"/>
      <c r="J2" s="397"/>
      <c r="K2" s="397"/>
      <c r="L2" s="398"/>
    </row>
    <row r="3" spans="2:12" x14ac:dyDescent="0.2">
      <c r="B3" s="20" t="s">
        <v>199</v>
      </c>
      <c r="C3" s="110" t="s">
        <v>407</v>
      </c>
      <c r="D3" s="108" t="s">
        <v>20</v>
      </c>
      <c r="E3" s="108" t="s">
        <v>1</v>
      </c>
      <c r="F3" s="108" t="s">
        <v>388</v>
      </c>
      <c r="G3" s="108" t="s">
        <v>430</v>
      </c>
      <c r="H3" s="108" t="s">
        <v>17</v>
      </c>
      <c r="I3" s="108" t="s">
        <v>1028</v>
      </c>
      <c r="J3" s="108" t="s">
        <v>1029</v>
      </c>
      <c r="K3" s="108" t="s">
        <v>438</v>
      </c>
      <c r="L3" s="109" t="s">
        <v>468</v>
      </c>
    </row>
    <row r="4" spans="2:12" x14ac:dyDescent="0.2">
      <c r="B4" s="382"/>
      <c r="C4" s="400" t="s">
        <v>408</v>
      </c>
      <c r="D4" s="111" t="s">
        <v>1037</v>
      </c>
      <c r="E4" s="130" t="s">
        <v>392</v>
      </c>
      <c r="F4" s="112" t="s">
        <v>1131</v>
      </c>
      <c r="G4" s="190" t="s">
        <v>431</v>
      </c>
      <c r="H4" s="130"/>
      <c r="I4" s="130"/>
      <c r="J4" s="130"/>
      <c r="K4" s="192"/>
      <c r="L4" s="130"/>
    </row>
    <row r="5" spans="2:12" x14ac:dyDescent="0.2">
      <c r="B5" s="382"/>
      <c r="C5" s="401"/>
      <c r="D5" s="111" t="s">
        <v>1065</v>
      </c>
      <c r="E5" s="130" t="s">
        <v>394</v>
      </c>
      <c r="F5" s="112" t="s">
        <v>1162</v>
      </c>
      <c r="G5" s="190" t="s">
        <v>431</v>
      </c>
      <c r="H5" s="130"/>
      <c r="I5" s="130"/>
      <c r="J5" s="130"/>
      <c r="K5" s="192"/>
      <c r="L5" s="130"/>
    </row>
    <row r="6" spans="2:12" x14ac:dyDescent="0.2">
      <c r="B6" s="382"/>
      <c r="C6" s="380" t="s">
        <v>409</v>
      </c>
      <c r="D6" s="34" t="s">
        <v>1038</v>
      </c>
      <c r="E6" s="2" t="s">
        <v>469</v>
      </c>
      <c r="F6" s="115" t="s">
        <v>1132</v>
      </c>
      <c r="G6" s="191" t="s">
        <v>431</v>
      </c>
      <c r="H6" s="2"/>
      <c r="I6" s="2"/>
      <c r="J6" s="2"/>
      <c r="K6" s="193"/>
      <c r="L6" s="2"/>
    </row>
    <row r="7" spans="2:12" x14ac:dyDescent="0.2">
      <c r="B7" s="382"/>
      <c r="C7" s="380"/>
      <c r="D7" s="34" t="s">
        <v>1066</v>
      </c>
      <c r="E7" s="2" t="s">
        <v>470</v>
      </c>
      <c r="F7" s="115" t="s">
        <v>1163</v>
      </c>
      <c r="G7" s="191" t="s">
        <v>431</v>
      </c>
      <c r="H7" s="2"/>
      <c r="I7" s="2"/>
      <c r="J7" s="2"/>
      <c r="K7" s="193"/>
      <c r="L7" s="2"/>
    </row>
    <row r="8" spans="2:12" x14ac:dyDescent="0.2">
      <c r="B8" s="382"/>
      <c r="C8" s="379" t="s">
        <v>410</v>
      </c>
      <c r="D8" s="111" t="s">
        <v>1039</v>
      </c>
      <c r="E8" s="130" t="s">
        <v>471</v>
      </c>
      <c r="F8" s="112" t="s">
        <v>1133</v>
      </c>
      <c r="G8" s="190" t="s">
        <v>432</v>
      </c>
      <c r="H8" s="130"/>
      <c r="I8" s="130"/>
      <c r="J8" s="130"/>
      <c r="K8" s="192"/>
      <c r="L8" s="130"/>
    </row>
    <row r="9" spans="2:12" x14ac:dyDescent="0.2">
      <c r="B9" s="382"/>
      <c r="C9" s="379"/>
      <c r="D9" s="111" t="s">
        <v>1067</v>
      </c>
      <c r="E9" s="130" t="s">
        <v>472</v>
      </c>
      <c r="F9" s="112" t="s">
        <v>1164</v>
      </c>
      <c r="G9" s="190" t="s">
        <v>432</v>
      </c>
      <c r="H9" s="130"/>
      <c r="I9" s="130"/>
      <c r="J9" s="130"/>
      <c r="K9" s="192"/>
      <c r="L9" s="130"/>
    </row>
    <row r="10" spans="2:12" x14ac:dyDescent="0.2">
      <c r="B10" s="382"/>
      <c r="C10" s="380" t="s">
        <v>411</v>
      </c>
      <c r="D10" s="34" t="s">
        <v>1040</v>
      </c>
      <c r="E10" s="2" t="s">
        <v>473</v>
      </c>
      <c r="F10" s="115" t="s">
        <v>1134</v>
      </c>
      <c r="G10" s="191" t="s">
        <v>433</v>
      </c>
      <c r="H10" s="2"/>
      <c r="I10" s="2"/>
      <c r="J10" s="2"/>
      <c r="K10" s="193"/>
      <c r="L10" s="2"/>
    </row>
    <row r="11" spans="2:12" x14ac:dyDescent="0.2">
      <c r="B11" s="382"/>
      <c r="C11" s="380"/>
      <c r="D11" s="34" t="s">
        <v>1068</v>
      </c>
      <c r="E11" s="2" t="s">
        <v>474</v>
      </c>
      <c r="F11" s="115" t="s">
        <v>1165</v>
      </c>
      <c r="G11" s="191" t="s">
        <v>433</v>
      </c>
      <c r="H11" s="2"/>
      <c r="I11" s="2"/>
      <c r="J11" s="2"/>
      <c r="K11" s="193"/>
      <c r="L11" s="2"/>
    </row>
    <row r="12" spans="2:12" x14ac:dyDescent="0.2">
      <c r="B12" s="382"/>
      <c r="C12" s="379" t="s">
        <v>412</v>
      </c>
      <c r="D12" s="111" t="s">
        <v>1041</v>
      </c>
      <c r="E12" s="130" t="s">
        <v>475</v>
      </c>
      <c r="F12" s="112" t="s">
        <v>1135</v>
      </c>
      <c r="G12" s="190" t="s">
        <v>433</v>
      </c>
      <c r="H12" s="130"/>
      <c r="I12" s="130"/>
      <c r="J12" s="130"/>
      <c r="K12" s="192"/>
      <c r="L12" s="130"/>
    </row>
    <row r="13" spans="2:12" x14ac:dyDescent="0.2">
      <c r="B13" s="382"/>
      <c r="C13" s="379"/>
      <c r="D13" s="111" t="s">
        <v>1069</v>
      </c>
      <c r="E13" s="130" t="s">
        <v>476</v>
      </c>
      <c r="F13" s="112" t="s">
        <v>1166</v>
      </c>
      <c r="G13" s="190" t="s">
        <v>433</v>
      </c>
      <c r="H13" s="130"/>
      <c r="I13" s="130"/>
      <c r="J13" s="130"/>
      <c r="K13" s="192"/>
      <c r="L13" s="130"/>
    </row>
    <row r="14" spans="2:12" x14ac:dyDescent="0.2">
      <c r="B14" s="382"/>
      <c r="C14" s="380" t="s">
        <v>414</v>
      </c>
      <c r="D14" s="34" t="s">
        <v>1042</v>
      </c>
      <c r="E14" s="2" t="s">
        <v>477</v>
      </c>
      <c r="F14" s="115" t="s">
        <v>1189</v>
      </c>
      <c r="G14" s="191" t="s">
        <v>433</v>
      </c>
      <c r="H14" s="2"/>
      <c r="I14" s="2"/>
      <c r="J14" s="2"/>
      <c r="K14" s="193"/>
      <c r="L14" s="2"/>
    </row>
    <row r="15" spans="2:12" x14ac:dyDescent="0.2">
      <c r="B15" s="382"/>
      <c r="C15" s="380"/>
      <c r="D15" s="34" t="s">
        <v>1070</v>
      </c>
      <c r="E15" s="2" t="s">
        <v>478</v>
      </c>
      <c r="F15" s="115" t="s">
        <v>1167</v>
      </c>
      <c r="G15" s="191" t="s">
        <v>433</v>
      </c>
      <c r="H15" s="2"/>
      <c r="I15" s="2"/>
      <c r="J15" s="2"/>
      <c r="K15" s="193"/>
      <c r="L15" s="2"/>
    </row>
    <row r="16" spans="2:12" x14ac:dyDescent="0.2">
      <c r="B16" s="382"/>
      <c r="C16" s="379" t="s">
        <v>487</v>
      </c>
      <c r="D16" s="111" t="s">
        <v>1043</v>
      </c>
      <c r="E16" s="130" t="s">
        <v>488</v>
      </c>
      <c r="F16" s="112" t="s">
        <v>1190</v>
      </c>
      <c r="G16" s="190" t="s">
        <v>433</v>
      </c>
      <c r="H16" s="130"/>
      <c r="I16" s="130"/>
      <c r="J16" s="130"/>
      <c r="K16" s="192"/>
      <c r="L16" s="130"/>
    </row>
    <row r="17" spans="2:12" x14ac:dyDescent="0.2">
      <c r="B17" s="382"/>
      <c r="C17" s="379"/>
      <c r="D17" s="111" t="s">
        <v>1071</v>
      </c>
      <c r="E17" s="130" t="s">
        <v>489</v>
      </c>
      <c r="F17" s="112" t="s">
        <v>1191</v>
      </c>
      <c r="G17" s="190" t="s">
        <v>433</v>
      </c>
      <c r="H17" s="130"/>
      <c r="I17" s="130"/>
      <c r="J17" s="130"/>
      <c r="K17" s="192"/>
      <c r="L17" s="130"/>
    </row>
    <row r="18" spans="2:12" x14ac:dyDescent="0.2">
      <c r="B18" s="382"/>
      <c r="C18" s="380" t="s">
        <v>502</v>
      </c>
      <c r="D18" s="34" t="s">
        <v>1044</v>
      </c>
      <c r="E18" s="2" t="s">
        <v>505</v>
      </c>
      <c r="F18" s="115" t="s">
        <v>1192</v>
      </c>
      <c r="G18" s="191" t="s">
        <v>433</v>
      </c>
      <c r="H18" s="2"/>
      <c r="I18" s="2"/>
      <c r="J18" s="2"/>
      <c r="K18" s="193"/>
      <c r="L18" s="2"/>
    </row>
    <row r="19" spans="2:12" x14ac:dyDescent="0.2">
      <c r="B19" s="382"/>
      <c r="C19" s="380"/>
      <c r="D19" s="34" t="s">
        <v>1072</v>
      </c>
      <c r="E19" s="2" t="s">
        <v>507</v>
      </c>
      <c r="F19" s="115" t="s">
        <v>1193</v>
      </c>
      <c r="G19" s="191" t="s">
        <v>433</v>
      </c>
      <c r="H19" s="2"/>
      <c r="I19" s="2"/>
      <c r="J19" s="2"/>
      <c r="K19" s="193"/>
      <c r="L19" s="2"/>
    </row>
    <row r="20" spans="2:12" x14ac:dyDescent="0.2">
      <c r="B20" s="382"/>
      <c r="C20" s="379" t="s">
        <v>550</v>
      </c>
      <c r="D20" s="111" t="s">
        <v>1045</v>
      </c>
      <c r="E20" s="130" t="s">
        <v>555</v>
      </c>
      <c r="F20" s="112" t="s">
        <v>1194</v>
      </c>
      <c r="G20" s="190" t="s">
        <v>431</v>
      </c>
      <c r="H20" s="130"/>
      <c r="I20" s="130"/>
      <c r="J20" s="130"/>
      <c r="K20" s="192"/>
      <c r="L20" s="130"/>
    </row>
    <row r="21" spans="2:12" x14ac:dyDescent="0.2">
      <c r="B21" s="382"/>
      <c r="C21" s="379"/>
      <c r="D21" s="111" t="s">
        <v>1073</v>
      </c>
      <c r="E21" s="130" t="s">
        <v>556</v>
      </c>
      <c r="F21" s="112" t="s">
        <v>776</v>
      </c>
      <c r="G21" s="190" t="s">
        <v>431</v>
      </c>
      <c r="H21" s="130"/>
      <c r="I21" s="130"/>
      <c r="J21" s="130"/>
      <c r="K21" s="192"/>
      <c r="L21" s="130"/>
    </row>
    <row r="22" spans="2:12" x14ac:dyDescent="0.2">
      <c r="B22" s="382"/>
      <c r="C22" s="380" t="s">
        <v>550</v>
      </c>
      <c r="D22" s="34" t="s">
        <v>1046</v>
      </c>
      <c r="E22" s="2" t="s">
        <v>629</v>
      </c>
      <c r="F22" s="115" t="s">
        <v>1185</v>
      </c>
      <c r="G22" s="191" t="s">
        <v>431</v>
      </c>
      <c r="H22" s="2"/>
      <c r="I22" s="2"/>
      <c r="J22" s="2"/>
      <c r="K22" s="193"/>
      <c r="L22" s="2"/>
    </row>
    <row r="23" spans="2:12" x14ac:dyDescent="0.2">
      <c r="B23" s="382"/>
      <c r="C23" s="380"/>
      <c r="D23" s="34" t="s">
        <v>1074</v>
      </c>
      <c r="E23" s="2" t="s">
        <v>630</v>
      </c>
      <c r="F23" s="115" t="s">
        <v>1186</v>
      </c>
      <c r="G23" s="191" t="s">
        <v>431</v>
      </c>
      <c r="H23" s="2"/>
      <c r="I23" s="2"/>
      <c r="J23" s="2"/>
      <c r="K23" s="193"/>
      <c r="L23" s="2"/>
    </row>
    <row r="24" spans="2:12" x14ac:dyDescent="0.2">
      <c r="B24" s="382"/>
      <c r="C24" s="379" t="s">
        <v>589</v>
      </c>
      <c r="D24" s="111" t="s">
        <v>1047</v>
      </c>
      <c r="E24" s="130" t="s">
        <v>590</v>
      </c>
      <c r="F24" s="112" t="s">
        <v>1136</v>
      </c>
      <c r="G24" s="190" t="s">
        <v>433</v>
      </c>
      <c r="H24" s="130"/>
      <c r="I24" s="130"/>
      <c r="J24" s="130"/>
      <c r="K24" s="192"/>
      <c r="L24" s="130"/>
    </row>
    <row r="25" spans="2:12" x14ac:dyDescent="0.2">
      <c r="B25" s="382"/>
      <c r="C25" s="379"/>
      <c r="D25" s="111" t="s">
        <v>1075</v>
      </c>
      <c r="E25" s="130" t="s">
        <v>591</v>
      </c>
      <c r="F25" s="112" t="s">
        <v>1168</v>
      </c>
      <c r="G25" s="190" t="s">
        <v>433</v>
      </c>
      <c r="H25" s="130"/>
      <c r="I25" s="130"/>
      <c r="J25" s="130"/>
      <c r="K25" s="192"/>
      <c r="L25" s="130"/>
    </row>
    <row r="26" spans="2:12" x14ac:dyDescent="0.2">
      <c r="B26" s="382"/>
      <c r="C26" s="380" t="s">
        <v>680</v>
      </c>
      <c r="D26" s="34" t="s">
        <v>1048</v>
      </c>
      <c r="E26" s="2" t="s">
        <v>181</v>
      </c>
      <c r="F26" s="115" t="s">
        <v>1187</v>
      </c>
      <c r="G26" s="191" t="s">
        <v>433</v>
      </c>
      <c r="H26" s="2"/>
      <c r="I26" s="2"/>
      <c r="J26" s="2"/>
      <c r="K26" s="193"/>
      <c r="L26" s="2"/>
    </row>
    <row r="27" spans="2:12" x14ac:dyDescent="0.2">
      <c r="B27" s="382"/>
      <c r="C27" s="380"/>
      <c r="D27" s="34" t="s">
        <v>1076</v>
      </c>
      <c r="E27" s="2" t="s">
        <v>677</v>
      </c>
      <c r="F27" s="115" t="s">
        <v>1188</v>
      </c>
      <c r="G27" s="191" t="s">
        <v>433</v>
      </c>
      <c r="H27" s="2"/>
      <c r="I27" s="2"/>
      <c r="J27" s="2"/>
      <c r="K27" s="193"/>
      <c r="L27" s="2"/>
    </row>
    <row r="28" spans="2:12" x14ac:dyDescent="0.2">
      <c r="B28" s="382"/>
      <c r="C28" s="379" t="s">
        <v>698</v>
      </c>
      <c r="D28" s="111" t="s">
        <v>1049</v>
      </c>
      <c r="E28" s="130" t="s">
        <v>168</v>
      </c>
      <c r="F28" s="112" t="s">
        <v>1155</v>
      </c>
      <c r="G28" s="190" t="s">
        <v>433</v>
      </c>
      <c r="H28" s="130"/>
      <c r="I28" s="130"/>
      <c r="J28" s="130"/>
      <c r="K28" s="192"/>
      <c r="L28" s="130"/>
    </row>
    <row r="29" spans="2:12" x14ac:dyDescent="0.2">
      <c r="B29" s="382"/>
      <c r="C29" s="379"/>
      <c r="D29" s="111" t="s">
        <v>1077</v>
      </c>
      <c r="E29" s="130" t="s">
        <v>707</v>
      </c>
      <c r="F29" s="112" t="s">
        <v>777</v>
      </c>
      <c r="G29" s="190" t="s">
        <v>433</v>
      </c>
      <c r="H29" s="130"/>
      <c r="I29" s="130"/>
      <c r="J29" s="130"/>
      <c r="K29" s="192"/>
      <c r="L29" s="130"/>
    </row>
    <row r="30" spans="2:12" x14ac:dyDescent="0.2">
      <c r="B30" s="382"/>
      <c r="C30" s="380" t="s">
        <v>697</v>
      </c>
      <c r="D30" s="34" t="s">
        <v>1050</v>
      </c>
      <c r="E30" s="2" t="s">
        <v>708</v>
      </c>
      <c r="F30" s="115" t="s">
        <v>1137</v>
      </c>
      <c r="G30" s="191" t="s">
        <v>433</v>
      </c>
      <c r="H30" s="2"/>
      <c r="I30" s="2"/>
      <c r="J30" s="2"/>
      <c r="K30" s="193"/>
      <c r="L30" s="2"/>
    </row>
    <row r="31" spans="2:12" x14ac:dyDescent="0.2">
      <c r="B31" s="382"/>
      <c r="C31" s="380"/>
      <c r="D31" s="34" t="s">
        <v>1078</v>
      </c>
      <c r="E31" s="2" t="s">
        <v>709</v>
      </c>
      <c r="F31" s="115" t="s">
        <v>1169</v>
      </c>
      <c r="G31" s="191" t="s">
        <v>433</v>
      </c>
      <c r="H31" s="2"/>
      <c r="I31" s="2"/>
      <c r="J31" s="2"/>
      <c r="K31" s="193"/>
      <c r="L31" s="2"/>
    </row>
    <row r="32" spans="2:12" x14ac:dyDescent="0.2">
      <c r="B32" s="382"/>
      <c r="C32" s="379" t="s">
        <v>819</v>
      </c>
      <c r="D32" s="111" t="s">
        <v>1051</v>
      </c>
      <c r="E32" s="130" t="s">
        <v>714</v>
      </c>
      <c r="F32" s="112" t="s">
        <v>1138</v>
      </c>
      <c r="G32" s="190" t="s">
        <v>433</v>
      </c>
      <c r="H32" s="130"/>
      <c r="I32" s="130"/>
      <c r="J32" s="130"/>
      <c r="K32" s="192"/>
      <c r="L32" s="130"/>
    </row>
    <row r="33" spans="2:12" x14ac:dyDescent="0.2">
      <c r="B33" s="382"/>
      <c r="C33" s="379"/>
      <c r="D33" s="111" t="s">
        <v>1079</v>
      </c>
      <c r="E33" s="130" t="s">
        <v>715</v>
      </c>
      <c r="F33" s="112" t="s">
        <v>1170</v>
      </c>
      <c r="G33" s="190" t="s">
        <v>433</v>
      </c>
      <c r="H33" s="130"/>
      <c r="I33" s="130"/>
      <c r="J33" s="130"/>
      <c r="K33" s="192"/>
      <c r="L33" s="130"/>
    </row>
    <row r="34" spans="2:12" x14ac:dyDescent="0.2">
      <c r="B34" s="382"/>
      <c r="C34" s="380" t="s">
        <v>818</v>
      </c>
      <c r="D34" s="34" t="s">
        <v>1052</v>
      </c>
      <c r="E34" s="2" t="s">
        <v>720</v>
      </c>
      <c r="F34" s="115" t="s">
        <v>1139</v>
      </c>
      <c r="G34" s="191" t="s">
        <v>724</v>
      </c>
      <c r="H34" s="2"/>
      <c r="I34" s="2"/>
      <c r="J34" s="2"/>
      <c r="K34" s="193"/>
      <c r="L34" s="2"/>
    </row>
    <row r="35" spans="2:12" x14ac:dyDescent="0.2">
      <c r="B35" s="382"/>
      <c r="C35" s="380"/>
      <c r="D35" s="34" t="s">
        <v>1080</v>
      </c>
      <c r="E35" s="2" t="s">
        <v>721</v>
      </c>
      <c r="F35" s="115" t="s">
        <v>1171</v>
      </c>
      <c r="G35" s="191" t="s">
        <v>724</v>
      </c>
      <c r="H35" s="2"/>
      <c r="I35" s="2"/>
      <c r="J35" s="2"/>
      <c r="K35" s="193"/>
      <c r="L35" s="2"/>
    </row>
    <row r="36" spans="2:12" x14ac:dyDescent="0.2">
      <c r="B36" s="382"/>
      <c r="C36" s="379" t="s">
        <v>820</v>
      </c>
      <c r="D36" s="111" t="s">
        <v>1053</v>
      </c>
      <c r="E36" s="130" t="s">
        <v>766</v>
      </c>
      <c r="F36" s="112" t="s">
        <v>1140</v>
      </c>
      <c r="G36" s="190" t="s">
        <v>433</v>
      </c>
      <c r="H36" s="130"/>
      <c r="I36" s="130"/>
      <c r="J36" s="130"/>
      <c r="K36" s="192"/>
      <c r="L36" s="130"/>
    </row>
    <row r="37" spans="2:12" x14ac:dyDescent="0.2">
      <c r="B37" s="382"/>
      <c r="C37" s="379"/>
      <c r="D37" s="111" t="s">
        <v>1081</v>
      </c>
      <c r="E37" s="130" t="s">
        <v>767</v>
      </c>
      <c r="F37" s="112" t="s">
        <v>1172</v>
      </c>
      <c r="G37" s="190" t="s">
        <v>433</v>
      </c>
      <c r="H37" s="130"/>
      <c r="I37" s="130"/>
      <c r="J37" s="130"/>
      <c r="K37" s="192"/>
      <c r="L37" s="130"/>
    </row>
    <row r="38" spans="2:12" x14ac:dyDescent="0.2">
      <c r="B38" s="382"/>
      <c r="C38" s="380" t="s">
        <v>821</v>
      </c>
      <c r="D38" s="34" t="s">
        <v>1054</v>
      </c>
      <c r="E38" s="2" t="s">
        <v>764</v>
      </c>
      <c r="F38" s="115" t="s">
        <v>1141</v>
      </c>
      <c r="G38" s="191" t="s">
        <v>433</v>
      </c>
      <c r="H38" s="2"/>
      <c r="I38" s="2"/>
      <c r="J38" s="2"/>
      <c r="K38" s="193"/>
      <c r="L38" s="2"/>
    </row>
    <row r="39" spans="2:12" x14ac:dyDescent="0.2">
      <c r="B39" s="382"/>
      <c r="C39" s="380"/>
      <c r="D39" s="34" t="s">
        <v>1082</v>
      </c>
      <c r="E39" s="2" t="s">
        <v>765</v>
      </c>
      <c r="F39" s="115" t="s">
        <v>1173</v>
      </c>
      <c r="G39" s="191" t="s">
        <v>433</v>
      </c>
      <c r="H39" s="2"/>
      <c r="I39" s="2"/>
      <c r="J39" s="2"/>
      <c r="K39" s="193"/>
      <c r="L39" s="2"/>
    </row>
    <row r="40" spans="2:12" x14ac:dyDescent="0.2">
      <c r="B40" s="382"/>
      <c r="C40" s="379" t="s">
        <v>824</v>
      </c>
      <c r="D40" s="111" t="s">
        <v>1055</v>
      </c>
      <c r="E40" s="130" t="s">
        <v>828</v>
      </c>
      <c r="F40" s="112" t="s">
        <v>1142</v>
      </c>
      <c r="G40" s="190" t="s">
        <v>433</v>
      </c>
      <c r="H40" s="130"/>
      <c r="I40" s="130"/>
      <c r="J40" s="130"/>
      <c r="K40" s="192"/>
      <c r="L40" s="130"/>
    </row>
    <row r="41" spans="2:12" x14ac:dyDescent="0.2">
      <c r="B41" s="382"/>
      <c r="C41" s="379"/>
      <c r="D41" s="111" t="s">
        <v>1083</v>
      </c>
      <c r="E41" s="130" t="s">
        <v>827</v>
      </c>
      <c r="F41" s="112" t="s">
        <v>1174</v>
      </c>
      <c r="G41" s="190" t="s">
        <v>433</v>
      </c>
      <c r="H41" s="130"/>
      <c r="I41" s="130"/>
      <c r="J41" s="130"/>
      <c r="K41" s="192"/>
      <c r="L41" s="130"/>
    </row>
    <row r="42" spans="2:12" x14ac:dyDescent="0.2">
      <c r="B42" s="382"/>
      <c r="C42" s="380" t="s">
        <v>888</v>
      </c>
      <c r="D42" s="34" t="s">
        <v>1056</v>
      </c>
      <c r="E42" s="2" t="s">
        <v>890</v>
      </c>
      <c r="F42" s="115" t="s">
        <v>1143</v>
      </c>
      <c r="G42" s="191" t="s">
        <v>433</v>
      </c>
      <c r="H42" s="2"/>
      <c r="I42" s="2"/>
      <c r="J42" s="2"/>
      <c r="K42" s="193"/>
      <c r="L42" s="2"/>
    </row>
    <row r="43" spans="2:12" x14ac:dyDescent="0.2">
      <c r="B43" s="382"/>
      <c r="C43" s="380"/>
      <c r="D43" s="34" t="s">
        <v>1084</v>
      </c>
      <c r="E43" s="2" t="s">
        <v>894</v>
      </c>
      <c r="F43" s="115" t="s">
        <v>1175</v>
      </c>
      <c r="G43" s="191" t="s">
        <v>433</v>
      </c>
      <c r="H43" s="2"/>
      <c r="I43" s="2"/>
      <c r="J43" s="2"/>
      <c r="K43" s="193"/>
      <c r="L43" s="2"/>
    </row>
    <row r="44" spans="2:12" x14ac:dyDescent="0.2">
      <c r="B44" s="382"/>
      <c r="C44" s="379" t="s">
        <v>897</v>
      </c>
      <c r="D44" s="111" t="s">
        <v>1030</v>
      </c>
      <c r="E44" s="130" t="s">
        <v>899</v>
      </c>
      <c r="F44" s="112" t="s">
        <v>1144</v>
      </c>
      <c r="G44" s="190" t="s">
        <v>433</v>
      </c>
      <c r="H44" s="130"/>
      <c r="I44" s="130"/>
      <c r="J44" s="130"/>
      <c r="K44" s="192"/>
      <c r="L44" s="130"/>
    </row>
    <row r="45" spans="2:12" x14ac:dyDescent="0.2">
      <c r="B45" s="382"/>
      <c r="C45" s="379"/>
      <c r="D45" s="111" t="s">
        <v>1085</v>
      </c>
      <c r="E45" s="130" t="s">
        <v>903</v>
      </c>
      <c r="F45" s="112" t="s">
        <v>1176</v>
      </c>
      <c r="G45" s="190" t="s">
        <v>433</v>
      </c>
      <c r="H45" s="130"/>
      <c r="I45" s="130"/>
      <c r="J45" s="130"/>
      <c r="K45" s="192"/>
      <c r="L45" s="130"/>
    </row>
    <row r="46" spans="2:12" x14ac:dyDescent="0.2">
      <c r="B46" s="382"/>
      <c r="C46" s="380" t="s">
        <v>979</v>
      </c>
      <c r="D46" s="34" t="s">
        <v>1031</v>
      </c>
      <c r="E46" s="2" t="s">
        <v>51</v>
      </c>
      <c r="F46" s="115" t="s">
        <v>1145</v>
      </c>
      <c r="G46" s="191" t="s">
        <v>433</v>
      </c>
      <c r="H46" s="2"/>
      <c r="I46" s="2"/>
      <c r="J46" s="2"/>
      <c r="K46" s="193"/>
      <c r="L46" s="2"/>
    </row>
    <row r="47" spans="2:12" x14ac:dyDescent="0.2">
      <c r="B47" s="382"/>
      <c r="C47" s="380"/>
      <c r="D47" s="34" t="s">
        <v>1086</v>
      </c>
      <c r="E47" s="2" t="s">
        <v>980</v>
      </c>
      <c r="F47" s="115" t="s">
        <v>1177</v>
      </c>
      <c r="G47" s="191" t="s">
        <v>433</v>
      </c>
      <c r="H47" s="2"/>
      <c r="I47" s="2"/>
      <c r="J47" s="2"/>
      <c r="K47" s="193"/>
      <c r="L47" s="2"/>
    </row>
    <row r="48" spans="2:12" x14ac:dyDescent="0.2">
      <c r="B48" s="382"/>
      <c r="C48" s="379" t="s">
        <v>976</v>
      </c>
      <c r="D48" s="111" t="s">
        <v>1032</v>
      </c>
      <c r="E48" s="130" t="s">
        <v>983</v>
      </c>
      <c r="F48" s="112" t="s">
        <v>1146</v>
      </c>
      <c r="G48" s="190" t="s">
        <v>433</v>
      </c>
      <c r="H48" s="130"/>
      <c r="I48" s="130"/>
      <c r="J48" s="130"/>
      <c r="K48" s="192"/>
      <c r="L48" s="130"/>
    </row>
    <row r="49" spans="2:12" x14ac:dyDescent="0.2">
      <c r="B49" s="382"/>
      <c r="C49" s="379"/>
      <c r="D49" s="111" t="s">
        <v>1087</v>
      </c>
      <c r="E49" s="130" t="s">
        <v>984</v>
      </c>
      <c r="F49" s="112" t="s">
        <v>1178</v>
      </c>
      <c r="G49" s="190" t="s">
        <v>433</v>
      </c>
      <c r="H49" s="130"/>
      <c r="I49" s="130"/>
      <c r="J49" s="130"/>
      <c r="K49" s="192"/>
      <c r="L49" s="130"/>
    </row>
    <row r="50" spans="2:12" x14ac:dyDescent="0.2">
      <c r="B50" s="382"/>
      <c r="C50" s="380" t="s">
        <v>1102</v>
      </c>
      <c r="D50" s="34" t="s">
        <v>1124</v>
      </c>
      <c r="E50" s="2" t="s">
        <v>51</v>
      </c>
      <c r="F50" s="115" t="s">
        <v>1145</v>
      </c>
      <c r="G50" s="191" t="s">
        <v>433</v>
      </c>
      <c r="H50" s="130"/>
      <c r="I50" s="130"/>
      <c r="J50" s="130"/>
      <c r="K50" s="192"/>
      <c r="L50" s="130"/>
    </row>
    <row r="51" spans="2:12" x14ac:dyDescent="0.2">
      <c r="B51" s="382"/>
      <c r="C51" s="380"/>
      <c r="D51" s="34" t="s">
        <v>1125</v>
      </c>
      <c r="E51" s="2" t="s">
        <v>980</v>
      </c>
      <c r="F51" s="115" t="s">
        <v>1177</v>
      </c>
      <c r="G51" s="191" t="s">
        <v>433</v>
      </c>
      <c r="H51" s="130"/>
      <c r="I51" s="130"/>
      <c r="J51" s="130"/>
      <c r="K51" s="192"/>
      <c r="L51" s="130"/>
    </row>
    <row r="52" spans="2:12" x14ac:dyDescent="0.2">
      <c r="B52" s="382"/>
      <c r="C52" s="379" t="s">
        <v>1103</v>
      </c>
      <c r="D52" s="111" t="s">
        <v>1126</v>
      </c>
      <c r="E52" s="130" t="s">
        <v>983</v>
      </c>
      <c r="F52" s="112" t="s">
        <v>1146</v>
      </c>
      <c r="G52" s="190" t="s">
        <v>433</v>
      </c>
      <c r="H52" s="130"/>
      <c r="I52" s="130"/>
      <c r="J52" s="130"/>
      <c r="K52" s="192"/>
      <c r="L52" s="130"/>
    </row>
    <row r="53" spans="2:12" x14ac:dyDescent="0.2">
      <c r="B53" s="383"/>
      <c r="C53" s="379"/>
      <c r="D53" s="111" t="s">
        <v>1127</v>
      </c>
      <c r="E53" s="130" t="s">
        <v>984</v>
      </c>
      <c r="F53" s="112" t="s">
        <v>1178</v>
      </c>
      <c r="G53" s="190" t="s">
        <v>433</v>
      </c>
      <c r="H53" s="130"/>
      <c r="I53" s="130"/>
      <c r="J53" s="130"/>
      <c r="K53" s="192"/>
      <c r="L53" s="130"/>
    </row>
    <row r="54" spans="2:12" x14ac:dyDescent="0.2">
      <c r="B54" s="381" t="s">
        <v>202</v>
      </c>
      <c r="C54" s="390" t="s">
        <v>415</v>
      </c>
      <c r="D54" s="113" t="s">
        <v>1033</v>
      </c>
      <c r="E54" s="64" t="s">
        <v>479</v>
      </c>
      <c r="F54" s="195" t="s">
        <v>1147</v>
      </c>
      <c r="G54" s="216" t="s">
        <v>433</v>
      </c>
      <c r="H54" s="64"/>
      <c r="I54" s="64"/>
      <c r="J54" s="64"/>
      <c r="K54" s="216"/>
      <c r="L54" s="64"/>
    </row>
    <row r="55" spans="2:12" x14ac:dyDescent="0.2">
      <c r="B55" s="382"/>
      <c r="C55" s="390"/>
      <c r="D55" s="113" t="s">
        <v>1088</v>
      </c>
      <c r="E55" s="64" t="s">
        <v>480</v>
      </c>
      <c r="F55" s="195" t="s">
        <v>1179</v>
      </c>
      <c r="G55" s="216" t="s">
        <v>433</v>
      </c>
      <c r="H55" s="64"/>
      <c r="I55" s="64"/>
      <c r="J55" s="64"/>
      <c r="K55" s="216"/>
      <c r="L55" s="64"/>
    </row>
    <row r="56" spans="2:12" x14ac:dyDescent="0.2">
      <c r="B56" s="384"/>
      <c r="C56" s="386" t="s">
        <v>906</v>
      </c>
      <c r="D56" s="196" t="s">
        <v>1034</v>
      </c>
      <c r="E56" s="197" t="s">
        <v>149</v>
      </c>
      <c r="F56" s="198" t="s">
        <v>1148</v>
      </c>
      <c r="G56" s="217" t="s">
        <v>433</v>
      </c>
      <c r="H56" s="197"/>
      <c r="I56" s="197"/>
      <c r="J56" s="197"/>
      <c r="K56" s="217"/>
      <c r="L56" s="217"/>
    </row>
    <row r="57" spans="2:12" x14ac:dyDescent="0.2">
      <c r="B57" s="384"/>
      <c r="C57" s="386"/>
      <c r="D57" s="196" t="s">
        <v>1089</v>
      </c>
      <c r="E57" s="197" t="s">
        <v>911</v>
      </c>
      <c r="F57" s="198" t="s">
        <v>1180</v>
      </c>
      <c r="G57" s="217" t="s">
        <v>433</v>
      </c>
      <c r="H57" s="197"/>
      <c r="I57" s="197"/>
      <c r="J57" s="197"/>
      <c r="K57" s="217"/>
      <c r="L57" s="217"/>
    </row>
    <row r="58" spans="2:12" ht="15" customHeight="1" x14ac:dyDescent="0.2">
      <c r="B58" s="382"/>
      <c r="C58" s="388" t="s">
        <v>931</v>
      </c>
      <c r="D58" s="113" t="s">
        <v>1035</v>
      </c>
      <c r="E58" s="64" t="s">
        <v>915</v>
      </c>
      <c r="F58" s="244" t="s">
        <v>1149</v>
      </c>
      <c r="G58" s="64" t="s">
        <v>433</v>
      </c>
      <c r="H58" s="64"/>
      <c r="I58" s="64"/>
      <c r="J58" s="64"/>
      <c r="K58" s="64"/>
      <c r="L58" s="64"/>
    </row>
    <row r="59" spans="2:12" x14ac:dyDescent="0.2">
      <c r="B59" s="382"/>
      <c r="C59" s="428"/>
      <c r="D59" s="113" t="s">
        <v>1090</v>
      </c>
      <c r="E59" s="64" t="s">
        <v>919</v>
      </c>
      <c r="F59" s="244" t="s">
        <v>1181</v>
      </c>
      <c r="G59" s="64" t="s">
        <v>433</v>
      </c>
      <c r="H59" s="64"/>
      <c r="I59" s="64"/>
      <c r="J59" s="64"/>
      <c r="K59" s="64"/>
      <c r="L59" s="64"/>
    </row>
    <row r="60" spans="2:12" x14ac:dyDescent="0.2">
      <c r="B60" s="384"/>
      <c r="C60" s="428" t="s">
        <v>1203</v>
      </c>
      <c r="D60" s="113" t="s">
        <v>1110</v>
      </c>
      <c r="E60" s="64" t="s">
        <v>473</v>
      </c>
      <c r="F60" s="244" t="s">
        <v>1224</v>
      </c>
      <c r="G60" s="64" t="s">
        <v>433</v>
      </c>
      <c r="H60" s="64"/>
      <c r="I60" s="64"/>
      <c r="J60" s="64"/>
      <c r="K60" s="64"/>
      <c r="L60" s="64"/>
    </row>
    <row r="61" spans="2:12" x14ac:dyDescent="0.2">
      <c r="B61" s="384"/>
      <c r="C61" s="389"/>
      <c r="D61" s="113" t="s">
        <v>1111</v>
      </c>
      <c r="E61" s="64" t="s">
        <v>1123</v>
      </c>
      <c r="F61" s="244" t="s">
        <v>1225</v>
      </c>
      <c r="G61" s="64" t="s">
        <v>433</v>
      </c>
      <c r="H61" s="64"/>
      <c r="I61" s="64"/>
      <c r="J61" s="64"/>
      <c r="K61" s="64"/>
      <c r="L61" s="64"/>
    </row>
    <row r="62" spans="2:12" x14ac:dyDescent="0.2">
      <c r="B62" s="384"/>
      <c r="C62" s="387" t="s">
        <v>922</v>
      </c>
      <c r="D62" s="196" t="s">
        <v>1036</v>
      </c>
      <c r="E62" s="197" t="s">
        <v>924</v>
      </c>
      <c r="F62" s="243" t="s">
        <v>1150</v>
      </c>
      <c r="G62" s="217" t="s">
        <v>433</v>
      </c>
      <c r="H62" s="197"/>
      <c r="I62" s="197"/>
      <c r="J62" s="197"/>
      <c r="K62" s="217"/>
      <c r="L62" s="217"/>
    </row>
    <row r="63" spans="2:12" x14ac:dyDescent="0.2">
      <c r="B63" s="385"/>
      <c r="C63" s="387"/>
      <c r="D63" s="196" t="s">
        <v>1091</v>
      </c>
      <c r="E63" s="197" t="s">
        <v>928</v>
      </c>
      <c r="F63" s="198" t="s">
        <v>1182</v>
      </c>
      <c r="G63" s="217" t="s">
        <v>433</v>
      </c>
      <c r="H63" s="197"/>
      <c r="I63" s="197"/>
      <c r="J63" s="197"/>
      <c r="K63" s="217"/>
      <c r="L63" s="217"/>
    </row>
    <row r="64" spans="2:12" x14ac:dyDescent="0.2">
      <c r="B64" s="380" t="s">
        <v>201</v>
      </c>
      <c r="C64" s="391" t="s">
        <v>455</v>
      </c>
      <c r="D64" s="116" t="s">
        <v>1057</v>
      </c>
      <c r="E64" s="133" t="s">
        <v>155</v>
      </c>
      <c r="F64" s="117" t="s">
        <v>1151</v>
      </c>
      <c r="G64" s="218" t="s">
        <v>433</v>
      </c>
      <c r="H64" s="133"/>
      <c r="I64" s="133"/>
      <c r="J64" s="133"/>
      <c r="K64" s="218"/>
      <c r="L64" s="133"/>
    </row>
    <row r="65" spans="2:12" x14ac:dyDescent="0.2">
      <c r="B65" s="380"/>
      <c r="C65" s="392"/>
      <c r="D65" s="116" t="s">
        <v>1092</v>
      </c>
      <c r="E65" s="133" t="s">
        <v>460</v>
      </c>
      <c r="F65" s="117" t="s">
        <v>1183</v>
      </c>
      <c r="G65" s="218" t="s">
        <v>433</v>
      </c>
      <c r="H65" s="133"/>
      <c r="I65" s="133"/>
      <c r="J65" s="133"/>
      <c r="K65" s="218"/>
      <c r="L65" s="133"/>
    </row>
    <row r="66" spans="2:12" x14ac:dyDescent="0.2">
      <c r="B66" s="380"/>
      <c r="C66" s="393" t="s">
        <v>512</v>
      </c>
      <c r="D66" s="199" t="s">
        <v>1058</v>
      </c>
      <c r="E66" s="136" t="s">
        <v>519</v>
      </c>
      <c r="F66" s="200" t="s">
        <v>1101</v>
      </c>
      <c r="G66" s="219" t="s">
        <v>1100</v>
      </c>
      <c r="H66" s="136"/>
      <c r="I66" s="136"/>
      <c r="J66" s="136"/>
      <c r="K66" s="219"/>
      <c r="L66" s="136"/>
    </row>
    <row r="67" spans="2:12" x14ac:dyDescent="0.2">
      <c r="B67" s="380"/>
      <c r="C67" s="394"/>
      <c r="D67" s="199" t="s">
        <v>1093</v>
      </c>
      <c r="E67" s="136" t="s">
        <v>520</v>
      </c>
      <c r="F67" s="200" t="s">
        <v>1156</v>
      </c>
      <c r="G67" s="219" t="s">
        <v>1100</v>
      </c>
      <c r="H67" s="136"/>
      <c r="I67" s="136"/>
      <c r="J67" s="136"/>
      <c r="K67" s="219"/>
      <c r="L67" s="136"/>
    </row>
    <row r="68" spans="2:12" x14ac:dyDescent="0.2">
      <c r="B68" s="380"/>
      <c r="C68" s="391" t="s">
        <v>528</v>
      </c>
      <c r="D68" s="116" t="s">
        <v>1059</v>
      </c>
      <c r="E68" s="133" t="s">
        <v>531</v>
      </c>
      <c r="F68" s="117" t="s">
        <v>1128</v>
      </c>
      <c r="G68" s="218" t="s">
        <v>639</v>
      </c>
      <c r="H68" s="133"/>
      <c r="I68" s="133"/>
      <c r="J68" s="133"/>
      <c r="K68" s="218"/>
      <c r="L68" s="133"/>
    </row>
    <row r="69" spans="2:12" x14ac:dyDescent="0.2">
      <c r="B69" s="380"/>
      <c r="C69" s="392"/>
      <c r="D69" s="116" t="s">
        <v>1094</v>
      </c>
      <c r="E69" s="133" t="s">
        <v>532</v>
      </c>
      <c r="F69" s="117" t="s">
        <v>1184</v>
      </c>
      <c r="G69" s="218" t="s">
        <v>639</v>
      </c>
      <c r="H69" s="133"/>
      <c r="I69" s="133"/>
      <c r="J69" s="133"/>
      <c r="K69" s="218"/>
      <c r="L69" s="133"/>
    </row>
    <row r="70" spans="2:12" x14ac:dyDescent="0.2">
      <c r="B70" s="380"/>
      <c r="C70" s="393" t="s">
        <v>539</v>
      </c>
      <c r="D70" s="199" t="s">
        <v>1060</v>
      </c>
      <c r="E70" s="136" t="s">
        <v>540</v>
      </c>
      <c r="F70" s="200" t="s">
        <v>1152</v>
      </c>
      <c r="G70" s="219" t="s">
        <v>619</v>
      </c>
      <c r="H70" s="136"/>
      <c r="I70" s="136"/>
      <c r="J70" s="136"/>
      <c r="K70" s="219"/>
      <c r="L70" s="136"/>
    </row>
    <row r="71" spans="2:12" x14ac:dyDescent="0.2">
      <c r="B71" s="380"/>
      <c r="C71" s="394"/>
      <c r="D71" s="199" t="s">
        <v>1095</v>
      </c>
      <c r="E71" s="136" t="s">
        <v>541</v>
      </c>
      <c r="F71" s="200" t="s">
        <v>1157</v>
      </c>
      <c r="G71" s="219" t="s">
        <v>619</v>
      </c>
      <c r="H71" s="136"/>
      <c r="I71" s="136"/>
      <c r="J71" s="136"/>
      <c r="K71" s="219"/>
      <c r="L71" s="136"/>
    </row>
    <row r="72" spans="2:12" x14ac:dyDescent="0.2">
      <c r="B72" s="380"/>
      <c r="C72" s="391" t="s">
        <v>632</v>
      </c>
      <c r="D72" s="116" t="s">
        <v>1061</v>
      </c>
      <c r="E72" s="133" t="s">
        <v>635</v>
      </c>
      <c r="F72" s="117" t="s">
        <v>1153</v>
      </c>
      <c r="G72" s="218" t="s">
        <v>433</v>
      </c>
      <c r="H72" s="133"/>
      <c r="I72" s="133"/>
      <c r="J72" s="133"/>
      <c r="K72" s="218"/>
      <c r="L72" s="133"/>
    </row>
    <row r="73" spans="2:12" x14ac:dyDescent="0.2">
      <c r="B73" s="380"/>
      <c r="C73" s="392"/>
      <c r="D73" s="116" t="s">
        <v>1096</v>
      </c>
      <c r="E73" s="133" t="s">
        <v>636</v>
      </c>
      <c r="F73" s="117" t="s">
        <v>1158</v>
      </c>
      <c r="G73" s="218" t="s">
        <v>433</v>
      </c>
      <c r="H73" s="133"/>
      <c r="I73" s="133"/>
      <c r="J73" s="133"/>
      <c r="K73" s="218"/>
      <c r="L73" s="133"/>
    </row>
    <row r="74" spans="2:12" x14ac:dyDescent="0.2">
      <c r="B74" s="380"/>
      <c r="C74" s="393" t="s">
        <v>689</v>
      </c>
      <c r="D74" s="199" t="s">
        <v>1062</v>
      </c>
      <c r="E74" s="136" t="s">
        <v>692</v>
      </c>
      <c r="F74" s="200" t="s">
        <v>1154</v>
      </c>
      <c r="G74" s="219" t="s">
        <v>696</v>
      </c>
      <c r="H74" s="136"/>
      <c r="I74" s="136"/>
      <c r="J74" s="136"/>
      <c r="K74" s="219"/>
      <c r="L74" s="136"/>
    </row>
    <row r="75" spans="2:12" x14ac:dyDescent="0.2">
      <c r="B75" s="380"/>
      <c r="C75" s="394"/>
      <c r="D75" s="199" t="s">
        <v>1097</v>
      </c>
      <c r="E75" s="136" t="s">
        <v>693</v>
      </c>
      <c r="F75" s="200" t="s">
        <v>1159</v>
      </c>
      <c r="G75" s="219" t="s">
        <v>696</v>
      </c>
      <c r="H75" s="136"/>
      <c r="I75" s="136"/>
      <c r="J75" s="136"/>
      <c r="K75" s="219"/>
      <c r="L75" s="136"/>
    </row>
    <row r="76" spans="2:12" x14ac:dyDescent="0.2">
      <c r="B76" s="380"/>
      <c r="C76" s="391" t="s">
        <v>810</v>
      </c>
      <c r="D76" s="116" t="s">
        <v>1063</v>
      </c>
      <c r="E76" s="133" t="s">
        <v>814</v>
      </c>
      <c r="F76" s="117" t="s">
        <v>1130</v>
      </c>
      <c r="G76" s="218" t="s">
        <v>817</v>
      </c>
      <c r="H76" s="133"/>
      <c r="I76" s="133"/>
      <c r="J76" s="133"/>
      <c r="K76" s="218"/>
      <c r="L76" s="133"/>
    </row>
    <row r="77" spans="2:12" x14ac:dyDescent="0.2">
      <c r="B77" s="380"/>
      <c r="C77" s="392"/>
      <c r="D77" s="116" t="s">
        <v>1098</v>
      </c>
      <c r="E77" s="133" t="s">
        <v>813</v>
      </c>
      <c r="F77" s="117" t="s">
        <v>1160</v>
      </c>
      <c r="G77" s="218" t="s">
        <v>817</v>
      </c>
      <c r="H77" s="133"/>
      <c r="I77" s="133"/>
      <c r="J77" s="133"/>
      <c r="K77" s="218"/>
      <c r="L77" s="133"/>
    </row>
    <row r="78" spans="2:12" x14ac:dyDescent="0.2">
      <c r="B78" s="380"/>
      <c r="C78" s="393" t="s">
        <v>961</v>
      </c>
      <c r="D78" s="199" t="s">
        <v>1064</v>
      </c>
      <c r="E78" s="136" t="s">
        <v>147</v>
      </c>
      <c r="F78" s="200" t="s">
        <v>1129</v>
      </c>
      <c r="G78" s="219" t="s">
        <v>433</v>
      </c>
      <c r="H78" s="136"/>
      <c r="I78" s="136"/>
      <c r="J78" s="136"/>
      <c r="K78" s="219"/>
      <c r="L78" s="136"/>
    </row>
    <row r="79" spans="2:12" x14ac:dyDescent="0.2">
      <c r="B79" s="380"/>
      <c r="C79" s="394"/>
      <c r="D79" s="199" t="s">
        <v>1099</v>
      </c>
      <c r="E79" s="136" t="s">
        <v>968</v>
      </c>
      <c r="F79" s="200" t="s">
        <v>1161</v>
      </c>
      <c r="G79" s="219" t="s">
        <v>433</v>
      </c>
      <c r="H79" s="136"/>
      <c r="I79" s="136"/>
      <c r="J79" s="136"/>
      <c r="K79" s="219"/>
      <c r="L79" s="136"/>
    </row>
  </sheetData>
  <mergeCells count="42">
    <mergeCell ref="B64:B79"/>
    <mergeCell ref="C64:C65"/>
    <mergeCell ref="C66:C67"/>
    <mergeCell ref="C68:C69"/>
    <mergeCell ref="C70:C71"/>
    <mergeCell ref="C72:C73"/>
    <mergeCell ref="C74:C75"/>
    <mergeCell ref="C76:C77"/>
    <mergeCell ref="C78:C79"/>
    <mergeCell ref="C48:C49"/>
    <mergeCell ref="B54:B63"/>
    <mergeCell ref="C54:C55"/>
    <mergeCell ref="C56:C57"/>
    <mergeCell ref="C58:C59"/>
    <mergeCell ref="C62:C63"/>
    <mergeCell ref="C60:C61"/>
    <mergeCell ref="C36:C37"/>
    <mergeCell ref="C38:C39"/>
    <mergeCell ref="C40:C41"/>
    <mergeCell ref="C44:C45"/>
    <mergeCell ref="C46:C47"/>
    <mergeCell ref="C12:C13"/>
    <mergeCell ref="C14:C15"/>
    <mergeCell ref="C16:C17"/>
    <mergeCell ref="C18:C19"/>
    <mergeCell ref="B4:B53"/>
    <mergeCell ref="C50:C51"/>
    <mergeCell ref="C52:C53"/>
    <mergeCell ref="C42:C43"/>
    <mergeCell ref="C20:C21"/>
    <mergeCell ref="C22:C23"/>
    <mergeCell ref="C24:C25"/>
    <mergeCell ref="C26:C27"/>
    <mergeCell ref="C28:C29"/>
    <mergeCell ref="C30:C31"/>
    <mergeCell ref="C32:C33"/>
    <mergeCell ref="C34:C35"/>
    <mergeCell ref="B2:L2"/>
    <mergeCell ref="C4:C5"/>
    <mergeCell ref="C6:C7"/>
    <mergeCell ref="C8:C9"/>
    <mergeCell ref="C10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zoomScale="80" zoomScaleNormal="80" workbookViewId="0">
      <selection activeCell="J40" sqref="J40"/>
    </sheetView>
  </sheetViews>
  <sheetFormatPr baseColWidth="10" defaultColWidth="9.1640625" defaultRowHeight="15" x14ac:dyDescent="0.2"/>
  <cols>
    <col min="1" max="1" width="11.5" style="1" bestFit="1" customWidth="1"/>
    <col min="2" max="2" width="16.5" style="1" bestFit="1" customWidth="1"/>
    <col min="3" max="3" width="16.6640625" style="1" bestFit="1" customWidth="1"/>
    <col min="4" max="4" width="9.1640625" style="1"/>
    <col min="5" max="5" width="16.5" style="1" bestFit="1" customWidth="1"/>
    <col min="6" max="6" width="16.6640625" style="1" bestFit="1" customWidth="1"/>
    <col min="7" max="16384" width="9.1640625" style="1"/>
  </cols>
  <sheetData>
    <row r="1" spans="1:6" ht="16" thickBot="1" x14ac:dyDescent="0.25">
      <c r="A1" s="1" t="s">
        <v>212</v>
      </c>
      <c r="D1" s="1" t="s">
        <v>213</v>
      </c>
    </row>
    <row r="2" spans="1:6" x14ac:dyDescent="0.2">
      <c r="B2" s="429" t="s">
        <v>204</v>
      </c>
      <c r="C2" s="430"/>
      <c r="E2" s="429" t="s">
        <v>204</v>
      </c>
      <c r="F2" s="430"/>
    </row>
    <row r="3" spans="1:6" ht="32" x14ac:dyDescent="0.2">
      <c r="B3" s="32" t="s">
        <v>56</v>
      </c>
      <c r="C3" s="35" t="s">
        <v>203</v>
      </c>
      <c r="E3" s="32" t="s">
        <v>56</v>
      </c>
      <c r="F3" s="35" t="s">
        <v>203</v>
      </c>
    </row>
    <row r="4" spans="1:6" x14ac:dyDescent="0.2">
      <c r="B4" s="32" t="s">
        <v>57</v>
      </c>
      <c r="C4" s="36" t="s">
        <v>579</v>
      </c>
      <c r="E4" s="32" t="s">
        <v>57</v>
      </c>
      <c r="F4" s="36" t="s">
        <v>579</v>
      </c>
    </row>
    <row r="5" spans="1:6" ht="33" thickBot="1" x14ac:dyDescent="0.25">
      <c r="B5" s="33" t="s">
        <v>58</v>
      </c>
      <c r="C5" s="37" t="s">
        <v>1008</v>
      </c>
      <c r="E5" s="33" t="s">
        <v>58</v>
      </c>
      <c r="F5" s="37" t="s">
        <v>1008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  <headerFooter>
    <oddHeader>&amp;C&amp;"Calibri"&amp;10&amp;K4A569E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zoomScaleNormal="100" workbookViewId="0">
      <selection activeCell="F39" sqref="F39"/>
    </sheetView>
  </sheetViews>
  <sheetFormatPr baseColWidth="10" defaultColWidth="9.1640625" defaultRowHeight="15" x14ac:dyDescent="0.2"/>
  <cols>
    <col min="1" max="1" width="9.1640625" style="1"/>
    <col min="2" max="2" width="11.5" style="1" bestFit="1" customWidth="1"/>
    <col min="3" max="3" width="42.5" style="1" customWidth="1"/>
    <col min="4" max="4" width="9.1640625" style="1"/>
    <col min="5" max="5" width="14" style="1" customWidth="1"/>
    <col min="6" max="6" width="73.83203125" style="1" customWidth="1"/>
    <col min="7" max="7" width="9.1640625" style="1"/>
    <col min="8" max="8" width="20.83203125" style="1" customWidth="1"/>
    <col min="9" max="9" width="36.6640625" style="1" bestFit="1" customWidth="1"/>
    <col min="10" max="16384" width="9.1640625" style="1"/>
  </cols>
  <sheetData>
    <row r="1" spans="1:9" ht="16" thickBot="1" x14ac:dyDescent="0.25">
      <c r="A1" s="1" t="s">
        <v>450</v>
      </c>
      <c r="D1" s="1" t="s">
        <v>213</v>
      </c>
      <c r="G1" s="1" t="s">
        <v>211</v>
      </c>
    </row>
    <row r="2" spans="1:9" x14ac:dyDescent="0.2">
      <c r="B2" s="15" t="s">
        <v>83</v>
      </c>
      <c r="C2" s="16" t="s">
        <v>84</v>
      </c>
      <c r="E2" s="15" t="s">
        <v>83</v>
      </c>
      <c r="F2" s="16" t="s">
        <v>84</v>
      </c>
      <c r="H2" s="15" t="s">
        <v>83</v>
      </c>
      <c r="I2" s="16" t="s">
        <v>84</v>
      </c>
    </row>
    <row r="3" spans="1:9" x14ac:dyDescent="0.2">
      <c r="B3" s="11" t="s">
        <v>88</v>
      </c>
      <c r="C3" s="12" t="s">
        <v>500</v>
      </c>
      <c r="E3" s="11" t="s">
        <v>451</v>
      </c>
      <c r="F3" s="13" t="s">
        <v>806</v>
      </c>
      <c r="H3" s="341" t="s">
        <v>85</v>
      </c>
      <c r="I3" s="342" t="s">
        <v>86</v>
      </c>
    </row>
    <row r="4" spans="1:9" ht="28" x14ac:dyDescent="0.2">
      <c r="B4" s="11" t="s">
        <v>580</v>
      </c>
      <c r="C4" s="12" t="s">
        <v>783</v>
      </c>
      <c r="E4" s="11" t="s">
        <v>501</v>
      </c>
      <c r="F4" s="13" t="s">
        <v>782</v>
      </c>
      <c r="H4" s="341" t="s">
        <v>88</v>
      </c>
      <c r="I4" s="343" t="s">
        <v>87</v>
      </c>
    </row>
    <row r="5" spans="1:9" x14ac:dyDescent="0.2">
      <c r="B5" s="11" t="s">
        <v>613</v>
      </c>
      <c r="C5" s="13" t="s">
        <v>807</v>
      </c>
      <c r="E5" s="11" t="s">
        <v>581</v>
      </c>
      <c r="F5" s="12" t="s">
        <v>784</v>
      </c>
      <c r="H5" s="341" t="s">
        <v>90</v>
      </c>
      <c r="I5" s="344" t="s">
        <v>89</v>
      </c>
    </row>
    <row r="6" spans="1:9" x14ac:dyDescent="0.2">
      <c r="B6" s="11" t="s">
        <v>687</v>
      </c>
      <c r="C6" s="12" t="s">
        <v>688</v>
      </c>
      <c r="E6" s="11" t="s">
        <v>582</v>
      </c>
      <c r="F6" s="12" t="s">
        <v>785</v>
      </c>
      <c r="H6" s="345" t="s">
        <v>92</v>
      </c>
      <c r="I6" s="344" t="s">
        <v>91</v>
      </c>
    </row>
    <row r="7" spans="1:9" x14ac:dyDescent="0.2">
      <c r="B7" s="11" t="s">
        <v>808</v>
      </c>
      <c r="C7" s="12" t="s">
        <v>809</v>
      </c>
      <c r="E7" s="11" t="s">
        <v>583</v>
      </c>
      <c r="F7" s="12" t="s">
        <v>786</v>
      </c>
      <c r="H7" s="345" t="s">
        <v>93</v>
      </c>
      <c r="I7" s="346" t="s">
        <v>94</v>
      </c>
    </row>
    <row r="8" spans="1:9" x14ac:dyDescent="0.2">
      <c r="E8" s="11" t="s">
        <v>788</v>
      </c>
      <c r="F8" s="12" t="s">
        <v>787</v>
      </c>
      <c r="H8" s="345" t="s">
        <v>98</v>
      </c>
      <c r="I8" s="346" t="s">
        <v>99</v>
      </c>
    </row>
    <row r="9" spans="1:9" x14ac:dyDescent="0.2">
      <c r="E9" s="11" t="s">
        <v>584</v>
      </c>
      <c r="F9" s="12" t="s">
        <v>789</v>
      </c>
      <c r="H9" s="345" t="s">
        <v>96</v>
      </c>
      <c r="I9" s="346" t="s">
        <v>97</v>
      </c>
    </row>
    <row r="10" spans="1:9" x14ac:dyDescent="0.2">
      <c r="E10" s="11" t="s">
        <v>585</v>
      </c>
      <c r="F10" s="12" t="s">
        <v>790</v>
      </c>
      <c r="H10" s="345" t="s">
        <v>101</v>
      </c>
      <c r="I10" s="346" t="s">
        <v>100</v>
      </c>
    </row>
    <row r="11" spans="1:9" x14ac:dyDescent="0.2">
      <c r="E11" s="11" t="s">
        <v>586</v>
      </c>
      <c r="F11" s="12" t="s">
        <v>791</v>
      </c>
      <c r="H11" s="345" t="s">
        <v>115</v>
      </c>
      <c r="I11" s="346" t="s">
        <v>116</v>
      </c>
    </row>
    <row r="12" spans="1:9" ht="29" thickBot="1" x14ac:dyDescent="0.25">
      <c r="E12" s="11" t="s">
        <v>587</v>
      </c>
      <c r="F12" s="12" t="s">
        <v>792</v>
      </c>
      <c r="H12" s="347" t="s">
        <v>207</v>
      </c>
      <c r="I12" s="348" t="s">
        <v>208</v>
      </c>
    </row>
    <row r="13" spans="1:9" x14ac:dyDescent="0.2">
      <c r="E13" s="11" t="s">
        <v>588</v>
      </c>
      <c r="F13" s="12" t="s">
        <v>793</v>
      </c>
    </row>
    <row r="14" spans="1:9" x14ac:dyDescent="0.2">
      <c r="E14" s="11" t="s">
        <v>794</v>
      </c>
      <c r="F14" s="12" t="s">
        <v>795</v>
      </c>
    </row>
    <row r="15" spans="1:9" x14ac:dyDescent="0.2">
      <c r="E15" s="11" t="s">
        <v>796</v>
      </c>
      <c r="F15" s="12" t="s">
        <v>797</v>
      </c>
    </row>
    <row r="16" spans="1:9" x14ac:dyDescent="0.2">
      <c r="E16" s="11" t="s">
        <v>798</v>
      </c>
      <c r="F16" s="12" t="s">
        <v>799</v>
      </c>
    </row>
    <row r="17" spans="2:6" x14ac:dyDescent="0.2">
      <c r="E17" s="11" t="s">
        <v>801</v>
      </c>
      <c r="F17" s="12" t="s">
        <v>800</v>
      </c>
    </row>
    <row r="18" spans="2:6" x14ac:dyDescent="0.2">
      <c r="E18" s="11" t="s">
        <v>802</v>
      </c>
      <c r="F18" s="12" t="s">
        <v>803</v>
      </c>
    </row>
    <row r="19" spans="2:6" x14ac:dyDescent="0.2">
      <c r="E19" s="11" t="s">
        <v>804</v>
      </c>
      <c r="F19" s="12" t="s">
        <v>805</v>
      </c>
    </row>
    <row r="20" spans="2:6" x14ac:dyDescent="0.2">
      <c r="E20" s="11" t="s">
        <v>1009</v>
      </c>
      <c r="F20" s="12" t="s">
        <v>1010</v>
      </c>
    </row>
    <row r="24" spans="2:6" x14ac:dyDescent="0.2">
      <c r="B24" s="357"/>
    </row>
    <row r="25" spans="2:6" x14ac:dyDescent="0.2">
      <c r="B25" s="358" t="s">
        <v>1226</v>
      </c>
    </row>
    <row r="26" spans="2:6" x14ac:dyDescent="0.2">
      <c r="B26" s="357" t="s">
        <v>1227</v>
      </c>
    </row>
    <row r="27" spans="2:6" x14ac:dyDescent="0.2">
      <c r="B27" s="358" t="s">
        <v>1228</v>
      </c>
    </row>
    <row r="28" spans="2:6" x14ac:dyDescent="0.2">
      <c r="B28" s="357" t="s">
        <v>1229</v>
      </c>
    </row>
  </sheetData>
  <hyperlinks>
    <hyperlink ref="B25" r:id="rId1" tooltip="Original URL:_x000a_https://sanofi.atlassian.net/wiki/spaces/MII/pages/63826497277/Site+leads+and+production+times_x000a__x000a_Click to follow link." display="https://eur01.safelinks.protection.outlook.com/?url=https%3A%2F%2Fsanofi.atlassian.net%2Fwiki%2Fspaces%2FMII%2Fpages%2F63826497277%2FSite%2Bleads%2Band%2Bproduction%2Btimes&amp;data=05%7C02%7CJacques.Robert%40sanofi.com%7C5cc0821a71584648a91c08dc853ac9fc%7Caca3c8d6aa714e1aa10e03572fc58c0b%7C0%7C0%7C638531734762535873%7CUnknown%7CTWFpbGZsb3d8eyJWIjoiMC4wLjAwMDAiLCJQIjoiV2luMzIiLCJBTiI6Ik1haWwiLCJXVCI6Mn0%3D%7C0%7C%7C%7C&amp;sdata=TyCfpypsqeRHL8j7xRD5chUYlN2MSIzXIU4kjHSSImg%3D&amp;reserved=0" xr:uid="{83055E2B-FFBC-DC45-AA0E-ABEFB74F4D60}"/>
    <hyperlink ref="B27" r:id="rId2" tooltip="Original URL:_x000a_https://sanofi.atlassian.net/wiki/spaces/MII/pages/63860443948/Quick+reference_x000a__x000a_Click to follow link." display="https://eur01.safelinks.protection.outlook.com/?url=https%3A%2F%2Fsanofi.atlassian.net%2Fwiki%2Fspaces%2FMII%2Fpages%2F63860443948%2FQuick%2Breference&amp;data=05%7C02%7CJacques.Robert%40sanofi.com%7C5cc0821a71584648a91c08dc853ac9fc%7Caca3c8d6aa714e1aa10e03572fc58c0b%7C0%7C0%7C638531734762552455%7CUnknown%7CTWFpbGZsb3d8eyJWIjoiMC4wLjAwMDAiLCJQIjoiV2luMzIiLCJBTiI6Ik1haWwiLCJXVCI6Mn0%3D%7C0%7C%7C%7C&amp;sdata=iJMWbRSEUuxVpXrxbD01ZfNcGpVdkg%2Favqk46Rb7evY%3D&amp;reserved=0" xr:uid="{63797464-D66B-C646-9879-D19AC1BF5B23}"/>
  </hyperlinks>
  <pageMargins left="0.7" right="0.7" top="0.75" bottom="0.75" header="0.3" footer="0.3"/>
  <pageSetup orientation="portrait" r:id="rId3"/>
  <headerFooter>
    <oddHeader>&amp;C&amp;"Calibri"&amp;10&amp;K4A569E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38"/>
  <sheetViews>
    <sheetView zoomScale="80" zoomScaleNormal="80" workbookViewId="0">
      <selection activeCell="I7" sqref="I7"/>
    </sheetView>
  </sheetViews>
  <sheetFormatPr baseColWidth="10" defaultColWidth="9.1640625" defaultRowHeight="15" x14ac:dyDescent="0.2"/>
  <cols>
    <col min="1" max="1" width="6.5" style="14" bestFit="1" customWidth="1"/>
    <col min="2" max="2" width="21.5" style="14" customWidth="1"/>
    <col min="3" max="3" width="26.5" style="14" customWidth="1"/>
    <col min="4" max="4" width="27.1640625" style="14" customWidth="1"/>
    <col min="5" max="5" width="31" style="14" customWidth="1"/>
    <col min="6" max="6" width="24.6640625" style="14" customWidth="1"/>
    <col min="7" max="7" width="25.33203125" style="14" customWidth="1"/>
    <col min="8" max="8" width="20.1640625" style="14" customWidth="1"/>
    <col min="9" max="9" width="19.1640625" style="14" customWidth="1"/>
    <col min="10" max="10" width="23.1640625" style="14" customWidth="1"/>
    <col min="11" max="16384" width="9.1640625" style="14"/>
  </cols>
  <sheetData>
    <row r="1" spans="2:10" ht="16" thickBot="1" x14ac:dyDescent="0.25">
      <c r="B1" s="24"/>
      <c r="C1" s="24"/>
      <c r="D1" s="24"/>
      <c r="E1" s="24"/>
      <c r="F1" s="23"/>
    </row>
    <row r="2" spans="2:10" ht="32" x14ac:dyDescent="0.2">
      <c r="B2" s="49" t="s">
        <v>189</v>
      </c>
      <c r="C2" s="50" t="s">
        <v>1195</v>
      </c>
      <c r="D2" s="50" t="s">
        <v>104</v>
      </c>
      <c r="E2" s="50" t="s">
        <v>103</v>
      </c>
      <c r="F2" s="51" t="s">
        <v>105</v>
      </c>
    </row>
    <row r="3" spans="2:10" ht="49" thickBot="1" x14ac:dyDescent="0.25">
      <c r="B3" s="52" t="s">
        <v>187</v>
      </c>
      <c r="C3" s="3" t="s">
        <v>186</v>
      </c>
      <c r="D3" s="3" t="s">
        <v>186</v>
      </c>
      <c r="E3" s="3" t="s">
        <v>102</v>
      </c>
      <c r="F3" s="48" t="s">
        <v>188</v>
      </c>
    </row>
    <row r="4" spans="2:10" x14ac:dyDescent="0.2">
      <c r="B4" s="25"/>
      <c r="C4" s="26"/>
      <c r="D4" s="26"/>
      <c r="E4" s="26"/>
      <c r="F4" s="23"/>
    </row>
    <row r="5" spans="2:10" ht="16" thickBot="1" x14ac:dyDescent="0.25">
      <c r="B5" s="27"/>
      <c r="C5" s="26"/>
      <c r="D5" s="26"/>
      <c r="E5" s="26"/>
      <c r="F5" s="23"/>
    </row>
    <row r="6" spans="2:10" ht="32" x14ac:dyDescent="0.2">
      <c r="B6" s="49" t="s">
        <v>189</v>
      </c>
      <c r="C6" s="50" t="s">
        <v>190</v>
      </c>
      <c r="D6" s="50" t="s">
        <v>191</v>
      </c>
      <c r="E6" s="50" t="s">
        <v>193</v>
      </c>
      <c r="F6" s="50" t="s">
        <v>195</v>
      </c>
      <c r="G6" s="50" t="s">
        <v>1199</v>
      </c>
      <c r="H6" s="50" t="s">
        <v>1199</v>
      </c>
      <c r="I6" s="50" t="s">
        <v>1199</v>
      </c>
      <c r="J6" s="54" t="s">
        <v>197</v>
      </c>
    </row>
    <row r="7" spans="2:10" ht="49" thickBot="1" x14ac:dyDescent="0.25">
      <c r="B7" s="52" t="s">
        <v>187</v>
      </c>
      <c r="C7" s="53" t="s">
        <v>114</v>
      </c>
      <c r="D7" s="53" t="s">
        <v>192</v>
      </c>
      <c r="E7" s="53" t="s">
        <v>194</v>
      </c>
      <c r="F7" s="53" t="s">
        <v>196</v>
      </c>
      <c r="G7" s="53" t="s">
        <v>1196</v>
      </c>
      <c r="H7" s="53" t="s">
        <v>1197</v>
      </c>
      <c r="I7" s="53" t="s">
        <v>1198</v>
      </c>
      <c r="J7" s="55" t="s">
        <v>198</v>
      </c>
    </row>
    <row r="8" spans="2:10" x14ac:dyDescent="0.2">
      <c r="B8" s="436"/>
      <c r="C8" s="28"/>
      <c r="D8" s="28"/>
      <c r="E8" s="435"/>
      <c r="F8" s="23"/>
    </row>
    <row r="9" spans="2:10" ht="15" customHeight="1" thickBot="1" x14ac:dyDescent="0.25">
      <c r="B9" s="436"/>
      <c r="C9" s="26"/>
      <c r="D9" s="26"/>
      <c r="E9" s="435"/>
      <c r="F9" s="23"/>
    </row>
    <row r="10" spans="2:10" ht="32" x14ac:dyDescent="0.2">
      <c r="B10" s="6" t="s">
        <v>52</v>
      </c>
      <c r="C10" s="50" t="s">
        <v>106</v>
      </c>
      <c r="D10" s="50" t="s">
        <v>108</v>
      </c>
      <c r="E10" s="50" t="s">
        <v>110</v>
      </c>
      <c r="F10" s="54" t="s">
        <v>112</v>
      </c>
    </row>
    <row r="11" spans="2:10" ht="16" x14ac:dyDescent="0.2">
      <c r="B11" s="56" t="s">
        <v>22</v>
      </c>
      <c r="C11" s="403" t="s">
        <v>107</v>
      </c>
      <c r="D11" s="403" t="s">
        <v>109</v>
      </c>
      <c r="E11" s="403" t="s">
        <v>111</v>
      </c>
      <c r="F11" s="433" t="s">
        <v>113</v>
      </c>
    </row>
    <row r="12" spans="2:10" ht="16" x14ac:dyDescent="0.2">
      <c r="B12" s="56" t="s">
        <v>77</v>
      </c>
      <c r="C12" s="403"/>
      <c r="D12" s="403"/>
      <c r="E12" s="403"/>
      <c r="F12" s="433"/>
    </row>
    <row r="13" spans="2:10" ht="15" customHeight="1" thickBot="1" x14ac:dyDescent="0.25">
      <c r="B13" s="33" t="s">
        <v>21</v>
      </c>
      <c r="C13" s="437"/>
      <c r="D13" s="437"/>
      <c r="E13" s="437"/>
      <c r="F13" s="434"/>
    </row>
    <row r="17" spans="2:9" x14ac:dyDescent="0.2">
      <c r="B17" s="29"/>
      <c r="C17" s="30"/>
      <c r="D17" s="30"/>
      <c r="F17" s="30"/>
      <c r="G17" s="30"/>
      <c r="H17" s="30"/>
      <c r="I17" s="30"/>
    </row>
    <row r="18" spans="2:9" x14ac:dyDescent="0.2">
      <c r="B18" s="432"/>
      <c r="C18" s="31"/>
      <c r="D18" s="431"/>
      <c r="F18" s="432"/>
      <c r="G18" s="31"/>
      <c r="H18" s="31"/>
      <c r="I18" s="431"/>
    </row>
    <row r="19" spans="2:9" x14ac:dyDescent="0.2">
      <c r="B19" s="432"/>
      <c r="C19" s="31"/>
      <c r="D19" s="431"/>
      <c r="F19" s="432"/>
      <c r="G19" s="31"/>
      <c r="H19" s="31"/>
      <c r="I19" s="431"/>
    </row>
    <row r="20" spans="2:9" x14ac:dyDescent="0.2">
      <c r="B20" s="432"/>
      <c r="C20" s="31"/>
      <c r="D20" s="431"/>
      <c r="F20" s="432"/>
      <c r="G20" s="31"/>
      <c r="H20" s="31"/>
      <c r="I20" s="431"/>
    </row>
    <row r="21" spans="2:9" x14ac:dyDescent="0.2">
      <c r="B21" s="432"/>
      <c r="C21" s="31"/>
      <c r="D21" s="431"/>
      <c r="F21" s="432"/>
      <c r="G21" s="31"/>
      <c r="H21" s="31"/>
      <c r="I21" s="431"/>
    </row>
    <row r="22" spans="2:9" x14ac:dyDescent="0.2">
      <c r="B22" s="432"/>
      <c r="C22" s="31"/>
      <c r="D22" s="431"/>
      <c r="F22" s="432"/>
      <c r="G22" s="31"/>
      <c r="H22" s="31"/>
      <c r="I22" s="431"/>
    </row>
    <row r="23" spans="2:9" x14ac:dyDescent="0.2">
      <c r="B23" s="432"/>
      <c r="C23" s="31"/>
      <c r="D23" s="431"/>
      <c r="F23" s="432"/>
      <c r="G23" s="31"/>
      <c r="H23" s="31"/>
      <c r="I23" s="431"/>
    </row>
    <row r="24" spans="2:9" ht="28.5" customHeight="1" x14ac:dyDescent="0.2">
      <c r="B24" s="432"/>
      <c r="C24" s="31"/>
      <c r="D24" s="431"/>
      <c r="F24" s="432"/>
      <c r="G24" s="31"/>
      <c r="H24" s="31"/>
      <c r="I24" s="431"/>
    </row>
    <row r="25" spans="2:9" x14ac:dyDescent="0.2">
      <c r="B25" s="432"/>
      <c r="C25" s="31"/>
      <c r="D25" s="431"/>
      <c r="F25" s="432"/>
      <c r="G25" s="31"/>
      <c r="H25" s="31"/>
      <c r="I25" s="431"/>
    </row>
    <row r="26" spans="2:9" x14ac:dyDescent="0.2">
      <c r="B26" s="432"/>
      <c r="C26" s="31"/>
      <c r="D26" s="431"/>
      <c r="F26" s="432"/>
      <c r="G26" s="31"/>
      <c r="H26" s="31"/>
      <c r="I26" s="431"/>
    </row>
    <row r="27" spans="2:9" ht="28.5" customHeight="1" x14ac:dyDescent="0.2">
      <c r="B27" s="432"/>
      <c r="C27" s="31"/>
      <c r="D27" s="431"/>
      <c r="F27" s="432"/>
      <c r="G27" s="31"/>
      <c r="H27" s="31"/>
      <c r="I27" s="431"/>
    </row>
    <row r="28" spans="2:9" x14ac:dyDescent="0.2">
      <c r="B28" s="432"/>
      <c r="C28" s="31"/>
      <c r="D28" s="431"/>
      <c r="F28" s="432"/>
      <c r="G28" s="31"/>
      <c r="H28" s="31"/>
      <c r="I28" s="431"/>
    </row>
    <row r="29" spans="2:9" x14ac:dyDescent="0.2">
      <c r="B29" s="432"/>
      <c r="C29" s="31"/>
      <c r="D29" s="431"/>
      <c r="F29" s="432"/>
      <c r="G29" s="31"/>
      <c r="H29" s="31"/>
      <c r="I29" s="431"/>
    </row>
    <row r="30" spans="2:9" x14ac:dyDescent="0.2">
      <c r="B30" s="438"/>
      <c r="C30" s="438"/>
      <c r="D30" s="438"/>
      <c r="F30" s="432"/>
      <c r="G30" s="31"/>
      <c r="H30" s="31"/>
      <c r="I30" s="31"/>
    </row>
    <row r="31" spans="2:9" x14ac:dyDescent="0.2">
      <c r="B31" s="432"/>
      <c r="C31" s="31"/>
      <c r="D31" s="31"/>
      <c r="F31" s="432"/>
      <c r="G31" s="31"/>
      <c r="H31" s="31"/>
      <c r="I31" s="31"/>
    </row>
    <row r="32" spans="2:9" x14ac:dyDescent="0.2">
      <c r="B32" s="432"/>
      <c r="C32" s="31"/>
      <c r="D32" s="31"/>
      <c r="F32" s="432"/>
      <c r="G32" s="31"/>
      <c r="H32" s="31"/>
      <c r="I32" s="31"/>
    </row>
    <row r="33" spans="2:4" x14ac:dyDescent="0.2">
      <c r="B33" s="432"/>
      <c r="C33" s="31"/>
      <c r="D33" s="31"/>
    </row>
    <row r="38" spans="2:4" ht="15" customHeight="1" x14ac:dyDescent="0.2"/>
  </sheetData>
  <mergeCells count="25">
    <mergeCell ref="B31:B33"/>
    <mergeCell ref="E8:E9"/>
    <mergeCell ref="B8:B9"/>
    <mergeCell ref="C11:C13"/>
    <mergeCell ref="D11:D13"/>
    <mergeCell ref="B27:B29"/>
    <mergeCell ref="D27:D29"/>
    <mergeCell ref="B30:D30"/>
    <mergeCell ref="E11:E13"/>
    <mergeCell ref="F11:F13"/>
    <mergeCell ref="F27:F29"/>
    <mergeCell ref="B18:B20"/>
    <mergeCell ref="D18:D20"/>
    <mergeCell ref="B21:B23"/>
    <mergeCell ref="D21:D23"/>
    <mergeCell ref="B24:B26"/>
    <mergeCell ref="D24:D26"/>
    <mergeCell ref="I27:I29"/>
    <mergeCell ref="F30:F32"/>
    <mergeCell ref="F18:F20"/>
    <mergeCell ref="I18:I20"/>
    <mergeCell ref="F21:F23"/>
    <mergeCell ref="I21:I23"/>
    <mergeCell ref="F24:F26"/>
    <mergeCell ref="I24:I26"/>
  </mergeCells>
  <pageMargins left="0.7" right="0.7" top="0.75" bottom="0.75" header="0.3" footer="0.3"/>
  <pageSetup orientation="portrait" r:id="rId1"/>
  <headerFooter>
    <oddHeader>&amp;C&amp;"Calibri"&amp;10&amp;K4A569E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0"/>
  <sheetViews>
    <sheetView zoomScale="80" zoomScaleNormal="80" workbookViewId="0">
      <selection activeCell="O38" sqref="O38"/>
    </sheetView>
  </sheetViews>
  <sheetFormatPr baseColWidth="10" defaultColWidth="9.1640625" defaultRowHeight="15" x14ac:dyDescent="0.2"/>
  <cols>
    <col min="1" max="1" width="4" style="1" customWidth="1"/>
    <col min="2" max="2" width="25.1640625" style="1" bestFit="1" customWidth="1"/>
    <col min="3" max="3" width="25.83203125" style="1" bestFit="1" customWidth="1"/>
    <col min="4" max="4" width="13.83203125" style="1" bestFit="1" customWidth="1"/>
    <col min="5" max="5" width="13.83203125" style="4" bestFit="1" customWidth="1"/>
    <col min="6" max="6" width="15.83203125" style="1" bestFit="1" customWidth="1"/>
    <col min="7" max="7" width="19.5" style="4" customWidth="1"/>
    <col min="8" max="8" width="15.83203125" style="4" bestFit="1" customWidth="1"/>
    <col min="9" max="9" width="14.5" style="1" bestFit="1" customWidth="1"/>
    <col min="10" max="10" width="15.83203125" style="1" bestFit="1" customWidth="1"/>
    <col min="11" max="12" width="13.83203125" style="1" bestFit="1" customWidth="1"/>
    <col min="13" max="13" width="19.1640625" style="1" bestFit="1" customWidth="1"/>
    <col min="14" max="14" width="15.33203125" style="1" bestFit="1" customWidth="1"/>
    <col min="15" max="16" width="9.1640625" style="1"/>
    <col min="17" max="17" width="19.5" style="1" bestFit="1" customWidth="1"/>
    <col min="18" max="18" width="15.33203125" style="1" bestFit="1" customWidth="1"/>
    <col min="19" max="16384" width="9.1640625" style="1"/>
  </cols>
  <sheetData>
    <row r="1" spans="2:14" ht="16" thickBot="1" x14ac:dyDescent="0.25">
      <c r="B1" s="1" t="s">
        <v>143</v>
      </c>
    </row>
    <row r="2" spans="2:14" ht="19" x14ac:dyDescent="0.2">
      <c r="B2" s="395" t="s">
        <v>30</v>
      </c>
      <c r="C2" s="397"/>
      <c r="D2" s="397"/>
      <c r="E2" s="397"/>
      <c r="F2" s="397"/>
      <c r="G2" s="397"/>
      <c r="H2" s="397"/>
      <c r="I2" s="397"/>
      <c r="J2" s="398"/>
      <c r="K2" s="41"/>
      <c r="L2" s="6" t="s">
        <v>1</v>
      </c>
      <c r="M2" s="47" t="s">
        <v>180</v>
      </c>
      <c r="N2" s="8" t="s">
        <v>206</v>
      </c>
    </row>
    <row r="3" spans="2:14" s="5" customFormat="1" x14ac:dyDescent="0.2">
      <c r="B3" s="20" t="s">
        <v>199</v>
      </c>
      <c r="C3" s="10" t="s">
        <v>20</v>
      </c>
      <c r="D3" s="10" t="s">
        <v>1</v>
      </c>
      <c r="E3" s="10" t="s">
        <v>0</v>
      </c>
      <c r="F3" s="10" t="s">
        <v>17</v>
      </c>
      <c r="G3" s="10" t="s">
        <v>32</v>
      </c>
      <c r="H3" s="10" t="s">
        <v>62</v>
      </c>
      <c r="I3" s="10" t="s">
        <v>63</v>
      </c>
      <c r="J3" s="21" t="s">
        <v>29</v>
      </c>
      <c r="K3" s="42"/>
      <c r="L3" s="32" t="s">
        <v>51</v>
      </c>
      <c r="M3" s="2" t="s">
        <v>178</v>
      </c>
      <c r="N3" s="36" t="s">
        <v>179</v>
      </c>
    </row>
    <row r="4" spans="2:14" x14ac:dyDescent="0.2">
      <c r="B4" s="442" t="s">
        <v>200</v>
      </c>
      <c r="C4" s="125" t="s">
        <v>130</v>
      </c>
      <c r="D4" s="126" t="s">
        <v>3</v>
      </c>
      <c r="E4" s="126" t="s">
        <v>2</v>
      </c>
      <c r="F4" s="126" t="s">
        <v>18</v>
      </c>
      <c r="G4" s="126" t="s">
        <v>33</v>
      </c>
      <c r="H4" s="126" t="s">
        <v>72</v>
      </c>
      <c r="I4" s="127" t="s">
        <v>65</v>
      </c>
      <c r="J4" s="128" t="s">
        <v>28</v>
      </c>
      <c r="K4" s="38"/>
      <c r="L4" s="266" t="s">
        <v>168</v>
      </c>
      <c r="M4" s="134" t="s">
        <v>182</v>
      </c>
      <c r="N4" s="267" t="s">
        <v>183</v>
      </c>
    </row>
    <row r="5" spans="2:14" ht="15" customHeight="1" thickBot="1" x14ac:dyDescent="0.25">
      <c r="B5" s="442"/>
      <c r="C5" s="125" t="s">
        <v>21</v>
      </c>
      <c r="D5" s="126" t="s">
        <v>4</v>
      </c>
      <c r="E5" s="126" t="s">
        <v>5</v>
      </c>
      <c r="F5" s="126" t="s">
        <v>19</v>
      </c>
      <c r="G5" s="126" t="s">
        <v>35</v>
      </c>
      <c r="H5" s="126" t="s">
        <v>73</v>
      </c>
      <c r="I5" s="127" t="s">
        <v>66</v>
      </c>
      <c r="J5" s="128" t="s">
        <v>28</v>
      </c>
      <c r="K5" s="38"/>
      <c r="L5" s="268" t="s">
        <v>181</v>
      </c>
      <c r="M5" s="269" t="s">
        <v>185</v>
      </c>
      <c r="N5" s="270" t="s">
        <v>184</v>
      </c>
    </row>
    <row r="6" spans="2:14" ht="15" customHeight="1" x14ac:dyDescent="0.2">
      <c r="B6" s="442"/>
      <c r="C6" s="446" t="s">
        <v>77</v>
      </c>
      <c r="D6" s="126" t="s">
        <v>7</v>
      </c>
      <c r="E6" s="126" t="s">
        <v>6</v>
      </c>
      <c r="F6" s="126" t="s">
        <v>14</v>
      </c>
      <c r="G6" s="126" t="s">
        <v>34</v>
      </c>
      <c r="H6" s="126" t="s">
        <v>74</v>
      </c>
      <c r="I6" s="127" t="s">
        <v>67</v>
      </c>
      <c r="J6" s="441" t="s">
        <v>16</v>
      </c>
      <c r="K6" s="445"/>
      <c r="L6" s="445"/>
    </row>
    <row r="7" spans="2:14" ht="15.75" customHeight="1" x14ac:dyDescent="0.2">
      <c r="B7" s="442"/>
      <c r="C7" s="446"/>
      <c r="D7" s="126" t="s">
        <v>9</v>
      </c>
      <c r="E7" s="126" t="s">
        <v>8</v>
      </c>
      <c r="F7" s="126" t="s">
        <v>15</v>
      </c>
      <c r="G7" s="126" t="s">
        <v>53</v>
      </c>
      <c r="H7" s="126" t="s">
        <v>75</v>
      </c>
      <c r="I7" s="127" t="s">
        <v>68</v>
      </c>
      <c r="J7" s="441"/>
      <c r="K7" s="445"/>
      <c r="L7" s="445"/>
    </row>
    <row r="8" spans="2:14" ht="15" customHeight="1" x14ac:dyDescent="0.2">
      <c r="B8" s="442"/>
      <c r="C8" s="443" t="s">
        <v>117</v>
      </c>
      <c r="D8" s="126" t="s">
        <v>10</v>
      </c>
      <c r="E8" s="126" t="s">
        <v>25</v>
      </c>
      <c r="F8" s="126" t="s">
        <v>26</v>
      </c>
      <c r="G8" s="126" t="s">
        <v>36</v>
      </c>
      <c r="H8" s="126" t="s">
        <v>71</v>
      </c>
      <c r="I8" s="127" t="s">
        <v>64</v>
      </c>
      <c r="J8" s="441" t="s">
        <v>27</v>
      </c>
      <c r="K8" s="445"/>
      <c r="L8" s="445"/>
    </row>
    <row r="9" spans="2:14" x14ac:dyDescent="0.2">
      <c r="B9" s="442"/>
      <c r="C9" s="443"/>
      <c r="D9" s="126" t="s">
        <v>11</v>
      </c>
      <c r="E9" s="126" t="s">
        <v>23</v>
      </c>
      <c r="F9" s="126" t="s">
        <v>24</v>
      </c>
      <c r="G9" s="126" t="s">
        <v>37</v>
      </c>
      <c r="H9" s="126" t="s">
        <v>76</v>
      </c>
      <c r="I9" s="127" t="s">
        <v>69</v>
      </c>
      <c r="J9" s="441"/>
      <c r="K9" s="445"/>
      <c r="L9" s="445"/>
    </row>
    <row r="10" spans="2:14" ht="16" x14ac:dyDescent="0.2">
      <c r="B10" s="442"/>
      <c r="C10" s="317" t="s">
        <v>118</v>
      </c>
      <c r="D10" s="126" t="s">
        <v>13</v>
      </c>
      <c r="E10" s="126" t="s">
        <v>12</v>
      </c>
      <c r="F10" s="126" t="s">
        <v>31</v>
      </c>
      <c r="G10" s="126" t="s">
        <v>38</v>
      </c>
      <c r="H10" s="126" t="s">
        <v>60</v>
      </c>
      <c r="I10" s="127" t="s">
        <v>70</v>
      </c>
      <c r="J10" s="129" t="s">
        <v>95</v>
      </c>
      <c r="K10" s="38"/>
      <c r="L10" s="38"/>
    </row>
    <row r="11" spans="2:14" x14ac:dyDescent="0.2">
      <c r="B11" s="442"/>
      <c r="C11" s="443" t="s">
        <v>119</v>
      </c>
      <c r="D11" s="126" t="s">
        <v>120</v>
      </c>
      <c r="E11" s="126" t="s">
        <v>122</v>
      </c>
      <c r="F11" s="126" t="s">
        <v>125</v>
      </c>
      <c r="G11" s="126" t="s">
        <v>33</v>
      </c>
      <c r="H11" s="126"/>
      <c r="I11" s="127" t="s">
        <v>127</v>
      </c>
      <c r="J11" s="441" t="s">
        <v>128</v>
      </c>
      <c r="K11" s="445"/>
      <c r="L11" s="445"/>
    </row>
    <row r="12" spans="2:14" x14ac:dyDescent="0.2">
      <c r="B12" s="442"/>
      <c r="C12" s="443"/>
      <c r="D12" s="126" t="s">
        <v>121</v>
      </c>
      <c r="E12" s="126" t="s">
        <v>123</v>
      </c>
      <c r="F12" s="126" t="s">
        <v>124</v>
      </c>
      <c r="G12" s="126" t="s">
        <v>126</v>
      </c>
      <c r="H12" s="126"/>
      <c r="I12" s="127" t="s">
        <v>127</v>
      </c>
      <c r="J12" s="441"/>
      <c r="K12" s="445"/>
      <c r="L12" s="445"/>
    </row>
    <row r="13" spans="2:14" x14ac:dyDescent="0.2">
      <c r="B13" s="32" t="s">
        <v>201</v>
      </c>
      <c r="C13" s="125" t="s">
        <v>129</v>
      </c>
      <c r="D13" s="126" t="s">
        <v>131</v>
      </c>
      <c r="E13" s="126" t="s">
        <v>132</v>
      </c>
      <c r="F13" s="126" t="s">
        <v>133</v>
      </c>
      <c r="G13" s="126" t="s">
        <v>134</v>
      </c>
      <c r="H13" s="126"/>
      <c r="I13" s="127" t="s">
        <v>135</v>
      </c>
      <c r="J13" s="129" t="s">
        <v>28</v>
      </c>
      <c r="K13" s="38"/>
      <c r="L13" s="38"/>
    </row>
    <row r="14" spans="2:14" x14ac:dyDescent="0.2">
      <c r="B14" s="442" t="s">
        <v>200</v>
      </c>
      <c r="C14" s="443" t="s">
        <v>136</v>
      </c>
      <c r="D14" s="160" t="s">
        <v>137</v>
      </c>
      <c r="E14" s="160" t="s">
        <v>140</v>
      </c>
      <c r="F14" s="126" t="s">
        <v>161</v>
      </c>
      <c r="G14" s="126" t="s">
        <v>142</v>
      </c>
      <c r="H14" s="126"/>
      <c r="I14" s="127"/>
      <c r="J14" s="441" t="s">
        <v>139</v>
      </c>
      <c r="K14" s="445"/>
      <c r="L14" s="445"/>
    </row>
    <row r="15" spans="2:14" x14ac:dyDescent="0.2">
      <c r="B15" s="442"/>
      <c r="C15" s="443"/>
      <c r="D15" s="160" t="s">
        <v>138</v>
      </c>
      <c r="E15" s="126" t="s">
        <v>141</v>
      </c>
      <c r="F15" s="126" t="s">
        <v>162</v>
      </c>
      <c r="G15" s="126" t="s">
        <v>33</v>
      </c>
      <c r="H15" s="126"/>
      <c r="I15" s="127"/>
      <c r="J15" s="444"/>
      <c r="K15" s="445"/>
      <c r="L15" s="445"/>
    </row>
    <row r="16" spans="2:14" ht="16" x14ac:dyDescent="0.2">
      <c r="B16" s="442"/>
      <c r="C16" s="159" t="s">
        <v>144</v>
      </c>
      <c r="D16" s="160" t="s">
        <v>145</v>
      </c>
      <c r="E16" s="126" t="s">
        <v>146</v>
      </c>
      <c r="F16" s="126" t="s">
        <v>163</v>
      </c>
      <c r="G16" s="126"/>
      <c r="H16" s="126"/>
      <c r="I16" s="127"/>
      <c r="J16" s="129" t="s">
        <v>28</v>
      </c>
      <c r="K16" s="39"/>
      <c r="L16" s="39"/>
    </row>
    <row r="17" spans="2:12" ht="16" x14ac:dyDescent="0.2">
      <c r="B17" s="32" t="s">
        <v>201</v>
      </c>
      <c r="C17" s="159" t="s">
        <v>160</v>
      </c>
      <c r="D17" s="160" t="s">
        <v>147</v>
      </c>
      <c r="E17" s="126" t="s">
        <v>151</v>
      </c>
      <c r="F17" s="126" t="s">
        <v>164</v>
      </c>
      <c r="G17" s="126"/>
      <c r="H17" s="126"/>
      <c r="I17" s="127"/>
      <c r="J17" s="129" t="s">
        <v>28</v>
      </c>
      <c r="K17" s="39"/>
      <c r="L17" s="39"/>
    </row>
    <row r="18" spans="2:12" ht="16" x14ac:dyDescent="0.2">
      <c r="B18" s="442" t="s">
        <v>200</v>
      </c>
      <c r="C18" s="159" t="s">
        <v>156</v>
      </c>
      <c r="D18" s="160" t="s">
        <v>152</v>
      </c>
      <c r="E18" s="126" t="s">
        <v>153</v>
      </c>
      <c r="F18" s="126" t="s">
        <v>165</v>
      </c>
      <c r="G18" s="126"/>
      <c r="H18" s="126"/>
      <c r="I18" s="127"/>
      <c r="J18" s="129" t="s">
        <v>28</v>
      </c>
      <c r="K18" s="40"/>
      <c r="L18" s="39"/>
    </row>
    <row r="19" spans="2:12" ht="16" x14ac:dyDescent="0.2">
      <c r="B19" s="442"/>
      <c r="C19" s="159" t="s">
        <v>157</v>
      </c>
      <c r="D19" s="160" t="s">
        <v>148</v>
      </c>
      <c r="E19" s="126" t="s">
        <v>150</v>
      </c>
      <c r="F19" s="126" t="s">
        <v>166</v>
      </c>
      <c r="G19" s="126"/>
      <c r="H19" s="126"/>
      <c r="I19" s="127"/>
      <c r="J19" s="129" t="s">
        <v>28</v>
      </c>
      <c r="K19" s="39"/>
      <c r="L19" s="39"/>
    </row>
    <row r="20" spans="2:12" ht="16" x14ac:dyDescent="0.2">
      <c r="B20" s="32" t="s">
        <v>202</v>
      </c>
      <c r="C20" s="263" t="s">
        <v>158</v>
      </c>
      <c r="D20" s="264" t="s">
        <v>149</v>
      </c>
      <c r="E20" s="134" t="s">
        <v>154</v>
      </c>
      <c r="F20" s="134" t="s">
        <v>167</v>
      </c>
      <c r="G20" s="134"/>
      <c r="H20" s="134"/>
      <c r="I20" s="135"/>
      <c r="J20" s="265" t="s">
        <v>28</v>
      </c>
      <c r="K20" s="39"/>
      <c r="L20" s="39"/>
    </row>
    <row r="21" spans="2:12" ht="17" thickBot="1" x14ac:dyDescent="0.25">
      <c r="B21" s="33" t="s">
        <v>201</v>
      </c>
      <c r="C21" s="232" t="s">
        <v>176</v>
      </c>
      <c r="D21" s="233" t="s">
        <v>155</v>
      </c>
      <c r="E21" s="230" t="s">
        <v>170</v>
      </c>
      <c r="F21" s="230" t="s">
        <v>177</v>
      </c>
      <c r="G21" s="230"/>
      <c r="H21" s="230"/>
      <c r="I21" s="234"/>
      <c r="J21" s="235" t="s">
        <v>28</v>
      </c>
      <c r="K21" s="39"/>
      <c r="L21" s="39"/>
    </row>
    <row r="22" spans="2:12" ht="16" thickBot="1" x14ac:dyDescent="0.25">
      <c r="C22" s="17"/>
      <c r="D22" s="4"/>
      <c r="E22" s="14"/>
      <c r="F22" s="14"/>
      <c r="G22" s="14"/>
      <c r="H22" s="14"/>
      <c r="I22" s="18"/>
      <c r="J22" s="19"/>
      <c r="K22" s="4"/>
      <c r="L22" s="4"/>
    </row>
    <row r="23" spans="2:12" ht="16" x14ac:dyDescent="0.2">
      <c r="B23" s="46" t="s">
        <v>20</v>
      </c>
      <c r="C23" s="57" t="s">
        <v>48</v>
      </c>
      <c r="D23" s="57" t="s">
        <v>59</v>
      </c>
      <c r="E23" s="57" t="s">
        <v>0</v>
      </c>
      <c r="F23" s="7" t="s">
        <v>43</v>
      </c>
      <c r="G23" s="57" t="s">
        <v>210</v>
      </c>
      <c r="H23" s="57" t="s">
        <v>209</v>
      </c>
      <c r="I23" s="7" t="s">
        <v>47</v>
      </c>
      <c r="J23" s="7" t="s">
        <v>46</v>
      </c>
      <c r="K23" s="57" t="s">
        <v>45</v>
      </c>
      <c r="L23" s="58" t="s">
        <v>44</v>
      </c>
    </row>
    <row r="24" spans="2:12" x14ac:dyDescent="0.2">
      <c r="B24" s="43" t="s">
        <v>205</v>
      </c>
      <c r="C24" s="126" t="s">
        <v>4</v>
      </c>
      <c r="D24" s="126" t="s">
        <v>42</v>
      </c>
      <c r="E24" s="126" t="s">
        <v>5</v>
      </c>
      <c r="F24" s="126" t="s">
        <v>55</v>
      </c>
      <c r="G24" s="126" t="s">
        <v>49</v>
      </c>
      <c r="H24" s="126">
        <v>64</v>
      </c>
      <c r="I24" s="126">
        <v>11520</v>
      </c>
      <c r="J24" s="126">
        <v>2304</v>
      </c>
      <c r="K24" s="126">
        <v>8</v>
      </c>
      <c r="L24" s="161">
        <v>0.25</v>
      </c>
    </row>
    <row r="25" spans="2:12" x14ac:dyDescent="0.2">
      <c r="B25" s="439" t="s">
        <v>77</v>
      </c>
      <c r="C25" s="126" t="s">
        <v>7</v>
      </c>
      <c r="D25" s="126" t="s">
        <v>41</v>
      </c>
      <c r="E25" s="126" t="s">
        <v>6</v>
      </c>
      <c r="F25" s="126" t="s">
        <v>54</v>
      </c>
      <c r="G25" s="126" t="s">
        <v>50</v>
      </c>
      <c r="H25" s="126">
        <v>64</v>
      </c>
      <c r="I25" s="126">
        <v>11520</v>
      </c>
      <c r="J25" s="126">
        <v>2304</v>
      </c>
      <c r="K25" s="126">
        <v>8</v>
      </c>
      <c r="L25" s="161">
        <v>0.25</v>
      </c>
    </row>
    <row r="26" spans="2:12" x14ac:dyDescent="0.2">
      <c r="B26" s="439"/>
      <c r="C26" s="126" t="s">
        <v>9</v>
      </c>
      <c r="D26" s="126" t="s">
        <v>40</v>
      </c>
      <c r="E26" s="126" t="s">
        <v>8</v>
      </c>
      <c r="F26" s="126" t="s">
        <v>54</v>
      </c>
      <c r="G26" s="126" t="s">
        <v>50</v>
      </c>
      <c r="H26" s="126">
        <v>64</v>
      </c>
      <c r="I26" s="126">
        <v>11520</v>
      </c>
      <c r="J26" s="126">
        <v>2304</v>
      </c>
      <c r="K26" s="126">
        <v>8</v>
      </c>
      <c r="L26" s="161">
        <v>0.25</v>
      </c>
    </row>
    <row r="27" spans="2:12" x14ac:dyDescent="0.2">
      <c r="B27" s="439" t="s">
        <v>117</v>
      </c>
      <c r="C27" s="126" t="s">
        <v>10</v>
      </c>
      <c r="D27" s="126" t="s">
        <v>41</v>
      </c>
      <c r="E27" s="126" t="s">
        <v>25</v>
      </c>
      <c r="F27" s="126" t="s">
        <v>55</v>
      </c>
      <c r="G27" s="126" t="s">
        <v>49</v>
      </c>
      <c r="H27" s="126">
        <v>128</v>
      </c>
      <c r="I27" s="126">
        <v>11520</v>
      </c>
      <c r="J27" s="126">
        <v>4608</v>
      </c>
      <c r="K27" s="126">
        <v>16</v>
      </c>
      <c r="L27" s="161">
        <v>0.4</v>
      </c>
    </row>
    <row r="28" spans="2:12" x14ac:dyDescent="0.2">
      <c r="B28" s="439"/>
      <c r="C28" s="126" t="s">
        <v>11</v>
      </c>
      <c r="D28" s="126" t="s">
        <v>40</v>
      </c>
      <c r="E28" s="126" t="s">
        <v>23</v>
      </c>
      <c r="F28" s="126" t="s">
        <v>55</v>
      </c>
      <c r="G28" s="126" t="s">
        <v>49</v>
      </c>
      <c r="H28" s="126">
        <v>128</v>
      </c>
      <c r="I28" s="126">
        <v>11520</v>
      </c>
      <c r="J28" s="126">
        <v>4608</v>
      </c>
      <c r="K28" s="126">
        <v>16</v>
      </c>
      <c r="L28" s="161">
        <v>0.4</v>
      </c>
    </row>
    <row r="29" spans="2:12" x14ac:dyDescent="0.2">
      <c r="B29" s="43" t="s">
        <v>118</v>
      </c>
      <c r="C29" s="126" t="s">
        <v>13</v>
      </c>
      <c r="D29" s="126" t="s">
        <v>39</v>
      </c>
      <c r="E29" s="126" t="s">
        <v>12</v>
      </c>
      <c r="F29" s="126" t="s">
        <v>55</v>
      </c>
      <c r="G29" s="126" t="s">
        <v>50</v>
      </c>
      <c r="H29" s="126">
        <v>128</v>
      </c>
      <c r="I29" s="126">
        <v>9360</v>
      </c>
      <c r="J29" s="126">
        <v>2304</v>
      </c>
      <c r="K29" s="126">
        <v>8</v>
      </c>
      <c r="L29" s="161">
        <v>0.4</v>
      </c>
    </row>
    <row r="30" spans="2:12" ht="15" customHeight="1" x14ac:dyDescent="0.2">
      <c r="B30" s="440" t="s">
        <v>119</v>
      </c>
      <c r="C30" s="126" t="s">
        <v>120</v>
      </c>
      <c r="D30" s="126" t="s">
        <v>41</v>
      </c>
      <c r="E30" s="126" t="s">
        <v>122</v>
      </c>
      <c r="F30" s="126"/>
      <c r="G30" s="126" t="s">
        <v>49</v>
      </c>
      <c r="H30" s="126">
        <v>128</v>
      </c>
      <c r="I30" s="126">
        <v>11520</v>
      </c>
      <c r="J30" s="126">
        <v>4608</v>
      </c>
      <c r="K30" s="126">
        <v>16</v>
      </c>
      <c r="L30" s="161">
        <v>0.4</v>
      </c>
    </row>
    <row r="31" spans="2:12" x14ac:dyDescent="0.2">
      <c r="B31" s="440"/>
      <c r="C31" s="126" t="s">
        <v>121</v>
      </c>
      <c r="D31" s="126" t="s">
        <v>40</v>
      </c>
      <c r="E31" s="126" t="s">
        <v>123</v>
      </c>
      <c r="F31" s="126"/>
      <c r="G31" s="126" t="s">
        <v>49</v>
      </c>
      <c r="H31" s="126">
        <v>128</v>
      </c>
      <c r="I31" s="126">
        <v>11520</v>
      </c>
      <c r="J31" s="126">
        <v>4608</v>
      </c>
      <c r="K31" s="126">
        <v>12</v>
      </c>
      <c r="L31" s="161">
        <v>0.4</v>
      </c>
    </row>
    <row r="32" spans="2:12" ht="30" customHeight="1" x14ac:dyDescent="0.2">
      <c r="B32" s="440" t="s">
        <v>136</v>
      </c>
      <c r="C32" s="126" t="s">
        <v>137</v>
      </c>
      <c r="D32" s="126" t="s">
        <v>41</v>
      </c>
      <c r="E32" s="126" t="s">
        <v>140</v>
      </c>
      <c r="F32" s="126"/>
      <c r="G32" s="126" t="s">
        <v>49</v>
      </c>
      <c r="H32" s="126">
        <v>128</v>
      </c>
      <c r="I32" s="126">
        <v>11520</v>
      </c>
      <c r="J32" s="126">
        <v>4608</v>
      </c>
      <c r="K32" s="126">
        <v>8</v>
      </c>
      <c r="L32" s="161">
        <v>0.4</v>
      </c>
    </row>
    <row r="33" spans="2:12" ht="15" customHeight="1" x14ac:dyDescent="0.2">
      <c r="B33" s="440"/>
      <c r="C33" s="126" t="s">
        <v>138</v>
      </c>
      <c r="D33" s="126" t="s">
        <v>40</v>
      </c>
      <c r="E33" s="126" t="s">
        <v>141</v>
      </c>
      <c r="F33" s="126"/>
      <c r="G33" s="126" t="s">
        <v>49</v>
      </c>
      <c r="H33" s="126">
        <v>128</v>
      </c>
      <c r="I33" s="126">
        <v>11520</v>
      </c>
      <c r="J33" s="126">
        <v>4608</v>
      </c>
      <c r="K33" s="126">
        <v>8</v>
      </c>
      <c r="L33" s="161">
        <v>0.4</v>
      </c>
    </row>
    <row r="34" spans="2:12" ht="16" x14ac:dyDescent="0.2">
      <c r="B34" s="44" t="s">
        <v>144</v>
      </c>
      <c r="C34" s="126" t="s">
        <v>145</v>
      </c>
      <c r="D34" s="126" t="s">
        <v>42</v>
      </c>
      <c r="E34" s="126" t="s">
        <v>146</v>
      </c>
      <c r="F34" s="126"/>
      <c r="G34" s="126" t="s">
        <v>49</v>
      </c>
      <c r="H34" s="126">
        <v>64</v>
      </c>
      <c r="I34" s="126">
        <v>11520</v>
      </c>
      <c r="J34" s="126">
        <v>2304</v>
      </c>
      <c r="K34" s="126">
        <v>8</v>
      </c>
      <c r="L34" s="161">
        <v>0.4</v>
      </c>
    </row>
    <row r="35" spans="2:12" ht="16" x14ac:dyDescent="0.2">
      <c r="B35" s="44" t="s">
        <v>160</v>
      </c>
      <c r="C35" s="126" t="s">
        <v>147</v>
      </c>
      <c r="D35" s="126" t="s">
        <v>42</v>
      </c>
      <c r="E35" s="126" t="s">
        <v>151</v>
      </c>
      <c r="F35" s="126" t="s">
        <v>171</v>
      </c>
      <c r="G35" s="126" t="s">
        <v>173</v>
      </c>
      <c r="H35" s="126">
        <v>64</v>
      </c>
      <c r="I35" s="126">
        <v>11520</v>
      </c>
      <c r="J35" s="126">
        <v>2304</v>
      </c>
      <c r="K35" s="126">
        <v>8</v>
      </c>
      <c r="L35" s="161">
        <v>0.2</v>
      </c>
    </row>
    <row r="36" spans="2:12" ht="16" x14ac:dyDescent="0.2">
      <c r="B36" s="44" t="s">
        <v>156</v>
      </c>
      <c r="C36" s="126" t="s">
        <v>152</v>
      </c>
      <c r="D36" s="126" t="s">
        <v>42</v>
      </c>
      <c r="E36" s="126" t="s">
        <v>153</v>
      </c>
      <c r="F36" s="126" t="s">
        <v>175</v>
      </c>
      <c r="G36" s="126" t="s">
        <v>49</v>
      </c>
      <c r="H36" s="126">
        <v>64</v>
      </c>
      <c r="I36" s="126">
        <v>11520</v>
      </c>
      <c r="J36" s="126">
        <v>2304</v>
      </c>
      <c r="K36" s="126">
        <v>8</v>
      </c>
      <c r="L36" s="161">
        <v>0.2</v>
      </c>
    </row>
    <row r="37" spans="2:12" ht="16" x14ac:dyDescent="0.2">
      <c r="B37" s="44" t="s">
        <v>157</v>
      </c>
      <c r="C37" s="126" t="s">
        <v>148</v>
      </c>
      <c r="D37" s="126" t="s">
        <v>42</v>
      </c>
      <c r="E37" s="126" t="s">
        <v>169</v>
      </c>
      <c r="F37" s="126" t="s">
        <v>174</v>
      </c>
      <c r="G37" s="126" t="s">
        <v>49</v>
      </c>
      <c r="H37" s="126">
        <v>128</v>
      </c>
      <c r="I37" s="126">
        <v>11520</v>
      </c>
      <c r="J37" s="126">
        <v>2304</v>
      </c>
      <c r="K37" s="126">
        <v>24</v>
      </c>
      <c r="L37" s="161">
        <v>0.25</v>
      </c>
    </row>
    <row r="38" spans="2:12" ht="16" x14ac:dyDescent="0.2">
      <c r="B38" s="44" t="s">
        <v>158</v>
      </c>
      <c r="C38" s="126" t="s">
        <v>149</v>
      </c>
      <c r="D38" s="126" t="s">
        <v>42</v>
      </c>
      <c r="E38" s="126" t="s">
        <v>154</v>
      </c>
      <c r="F38" s="126" t="s">
        <v>171</v>
      </c>
      <c r="G38" s="126" t="s">
        <v>172</v>
      </c>
      <c r="H38" s="126">
        <v>64</v>
      </c>
      <c r="I38" s="126">
        <v>11520</v>
      </c>
      <c r="J38" s="126">
        <v>2304</v>
      </c>
      <c r="K38" s="126">
        <v>8</v>
      </c>
      <c r="L38" s="161">
        <v>0.25</v>
      </c>
    </row>
    <row r="39" spans="2:12" ht="17" thickBot="1" x14ac:dyDescent="0.25">
      <c r="B39" s="45" t="s">
        <v>159</v>
      </c>
      <c r="C39" s="230" t="s">
        <v>155</v>
      </c>
      <c r="D39" s="230" t="s">
        <v>42</v>
      </c>
      <c r="E39" s="230" t="s">
        <v>170</v>
      </c>
      <c r="F39" s="230" t="s">
        <v>171</v>
      </c>
      <c r="G39" s="230" t="s">
        <v>173</v>
      </c>
      <c r="H39" s="230">
        <v>64</v>
      </c>
      <c r="I39" s="230">
        <v>11520</v>
      </c>
      <c r="J39" s="230">
        <v>2304</v>
      </c>
      <c r="K39" s="230">
        <v>8</v>
      </c>
      <c r="L39" s="231">
        <v>0.25</v>
      </c>
    </row>
    <row r="40" spans="2:12" ht="26.25" customHeight="1" x14ac:dyDescent="0.2">
      <c r="E40" s="1"/>
      <c r="H40" s="1"/>
    </row>
  </sheetData>
  <mergeCells count="24">
    <mergeCell ref="B2:J2"/>
    <mergeCell ref="K14:K15"/>
    <mergeCell ref="L14:L15"/>
    <mergeCell ref="B4:B12"/>
    <mergeCell ref="B14:B16"/>
    <mergeCell ref="C11:C12"/>
    <mergeCell ref="C6:C7"/>
    <mergeCell ref="C8:C9"/>
    <mergeCell ref="K6:K7"/>
    <mergeCell ref="L6:L7"/>
    <mergeCell ref="L8:L9"/>
    <mergeCell ref="K8:K9"/>
    <mergeCell ref="K11:K12"/>
    <mergeCell ref="L11:L12"/>
    <mergeCell ref="B25:B26"/>
    <mergeCell ref="B27:B28"/>
    <mergeCell ref="B30:B31"/>
    <mergeCell ref="B32:B33"/>
    <mergeCell ref="J6:J7"/>
    <mergeCell ref="J8:J9"/>
    <mergeCell ref="J11:J12"/>
    <mergeCell ref="B18:B19"/>
    <mergeCell ref="C14:C15"/>
    <mergeCell ref="J14:J15"/>
  </mergeCells>
  <pageMargins left="0.7" right="0.7" top="0.75" bottom="0.75" header="0.3" footer="0.3"/>
  <pageSetup orientation="portrait" r:id="rId1"/>
  <headerFooter>
    <oddHeader>&amp;C&amp;"Calibri"&amp;10&amp;K4A569E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AWS</vt:lpstr>
      <vt:lpstr>Local Sites</vt:lpstr>
      <vt:lpstr>Local Sites_Tools</vt:lpstr>
      <vt:lpstr>MII URLs</vt:lpstr>
      <vt:lpstr>PCO_Kep Server</vt:lpstr>
      <vt:lpstr>Software</vt:lpstr>
      <vt:lpstr>Qualipso&amp;Links</vt:lpstr>
      <vt:lpstr>Users</vt:lpstr>
      <vt:lpstr>NGDC</vt:lpstr>
      <vt:lpstr>'MII URLs'!_Hlk63155372</vt:lpstr>
      <vt:lpstr>'Qualipso&amp;Links'!_Toc295726649</vt:lpstr>
    </vt:vector>
  </TitlesOfParts>
  <Company>Sanofi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Sirasilla, Chandrashekar /IN/EXT</dc:creator>
  <cp:lastModifiedBy>Robert, Jacques /FR</cp:lastModifiedBy>
  <dcterms:created xsi:type="dcterms:W3CDTF">2018-05-24T12:54:08Z</dcterms:created>
  <dcterms:modified xsi:type="dcterms:W3CDTF">2024-06-10T14:47:42Z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3dcb88-8425-4e1d-b1a3-bd5572915bbc_Enabled">
    <vt:lpwstr>true</vt:lpwstr>
  </property>
  <property fmtid="{D5CDD505-2E9C-101B-9397-08002B2CF9AE}" pid="3" name="MSIP_Label_9e3dcb88-8425-4e1d-b1a3-bd5572915bbc_SetDate">
    <vt:lpwstr>2023-03-24T10:43:46Z</vt:lpwstr>
  </property>
  <property fmtid="{D5CDD505-2E9C-101B-9397-08002B2CF9AE}" pid="4" name="MSIP_Label_9e3dcb88-8425-4e1d-b1a3-bd5572915bbc_Method">
    <vt:lpwstr>Standard</vt:lpwstr>
  </property>
  <property fmtid="{D5CDD505-2E9C-101B-9397-08002B2CF9AE}" pid="5" name="MSIP_Label_9e3dcb88-8425-4e1d-b1a3-bd5572915bbc_Name">
    <vt:lpwstr>Internal</vt:lpwstr>
  </property>
  <property fmtid="{D5CDD505-2E9C-101B-9397-08002B2CF9AE}" pid="6" name="MSIP_Label_9e3dcb88-8425-4e1d-b1a3-bd5572915bbc_SiteId">
    <vt:lpwstr>aca3c8d6-aa71-4e1a-a10e-03572fc58c0b</vt:lpwstr>
  </property>
  <property fmtid="{D5CDD505-2E9C-101B-9397-08002B2CF9AE}" pid="7" name="MSIP_Label_9e3dcb88-8425-4e1d-b1a3-bd5572915bbc_ActionId">
    <vt:lpwstr>e6d9316e-e76d-4f64-9f41-59860c204298</vt:lpwstr>
  </property>
  <property fmtid="{D5CDD505-2E9C-101B-9397-08002B2CF9AE}" pid="8" name="MSIP_Label_9e3dcb88-8425-4e1d-b1a3-bd5572915bbc_ContentBits">
    <vt:lpwstr>1</vt:lpwstr>
  </property>
</Properties>
</file>